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apon Base Stats" sheetId="1" state="visible" r:id="rId3"/>
    <sheet name="Tier Progression" sheetId="2" state="visible" r:id="rId4"/>
    <sheet name="Card Simulat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<sst xmlns="http://schemas.openxmlformats.org/spreadsheetml/2006/main" count="80" uniqueCount="46">
  <si>
    <t xml:space="preserve">🚀  WEAPON BASE STATS &amp; MERGE SCALING</t>
  </si>
  <si>
    <t xml:space="preserve">Weapon</t>
  </si>
  <si>
    <t xml:space="preserve">Category</t>
  </si>
  <si>
    <t xml:space="preserve">Base Damage</t>
  </si>
  <si>
    <t xml:space="preserve">Base Fire Rate
(shots/sec)</t>
  </si>
  <si>
    <t xml:space="preserve">Base Projectiles</t>
  </si>
  <si>
    <t xml:space="preserve">Base AOE
Radius</t>
  </si>
  <si>
    <t xml:space="preserve">DMG Scale
(per tier)</t>
  </si>
  <si>
    <t xml:space="preserve">Fire Rate Scale
(per tier)</t>
  </si>
  <si>
    <t xml:space="preserve">Notes</t>
  </si>
  <si>
    <t xml:space="preserve">Machine Gun</t>
  </si>
  <si>
    <t xml:space="preserve">Ballistic</t>
  </si>
  <si>
    <t xml:space="preserve">High RoF, low damage. Shreds light enemies.</t>
  </si>
  <si>
    <t xml:space="preserve">Shotgun</t>
  </si>
  <si>
    <t xml:space="preserve">Wide spread. Devastating at close range.</t>
  </si>
  <si>
    <t xml:space="preserve">Plasma Cannon</t>
  </si>
  <si>
    <t xml:space="preserve">Energy</t>
  </si>
  <si>
    <t xml:space="preserve">Slow but huge AOE splash damage.</t>
  </si>
  <si>
    <t xml:space="preserve">Laser</t>
  </si>
  <si>
    <t xml:space="preserve">Consistent beam damage, great DPS.</t>
  </si>
  <si>
    <t xml:space="preserve">Homing Missile</t>
  </si>
  <si>
    <t xml:space="preserve">Missile</t>
  </si>
  <si>
    <t xml:space="preserve">Tracks enemies, small AOE on impact.</t>
  </si>
  <si>
    <t xml:space="preserve">⚔️  WEAPON TIER PROGRESSION  (formulas pull from 'Weapon Base Stats')</t>
  </si>
  <si>
    <t xml:space="preserve">Stat</t>
  </si>
  <si>
    <t xml:space="preserve">Tier 1</t>
  </si>
  <si>
    <t xml:space="preserve">Tier 2</t>
  </si>
  <si>
    <t xml:space="preserve">Tier 3</t>
  </si>
  <si>
    <t xml:space="preserve">Tier 4</t>
  </si>
  <si>
    <t xml:space="preserve">Tier 5</t>
  </si>
  <si>
    <t xml:space="preserve">Damage</t>
  </si>
  <si>
    <t xml:space="preserve">Fire Rate</t>
  </si>
  <si>
    <t xml:space="preserve">Projectiles</t>
  </si>
  <si>
    <t xml:space="preserve">AOE Radius</t>
  </si>
  <si>
    <t xml:space="preserve">DPS (dmg×rof×proj)</t>
  </si>
  <si>
    <t xml:space="preserve">🃏  CARD &amp; UPGRADE SIMULATOR  —  adjust yellow cells to see final stats</t>
  </si>
  <si>
    <t xml:space="preserve">Yellow = inputs you can change.  Tier pulls from Tier Progression sheet.  Final DPS = (BaseDMG + FlatBonus) × DMGMult × FireRate × RoFMult × (BaseProj + ExtraProj)</t>
  </si>
  <si>
    <t xml:space="preserve">Tier
(1–5)</t>
  </si>
  <si>
    <t xml:space="preserve">Base
Damage</t>
  </si>
  <si>
    <t xml:space="preserve">Base
Fire Rate</t>
  </si>
  <si>
    <t xml:space="preserve">Base
Projectiles</t>
  </si>
  <si>
    <t xml:space="preserve">+Flat DMG
(card)</t>
  </si>
  <si>
    <t xml:space="preserve">×DMG Mult
(card)</t>
  </si>
  <si>
    <t xml:space="preserve">×RoF Mult
(card)</t>
  </si>
  <si>
    <t xml:space="preserve">+Proj
(card)</t>
  </si>
  <si>
    <t xml:space="preserve">Final DPS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</si>
</sst>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0"/>
    <numFmt numFmtId="168" formatCode="0%"/>
    <numFmt numFmtId="169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DEEAF1"/>
      </patternFill>
    </fill>
    <fill>
      <patternFill patternType="solid">
        <fgColor rgb="FFDEEAF1"/>
        <bgColor rgb="FFD9E1F2"/>
      </patternFill>
    </fill>
    <fill>
      <patternFill patternType="solid">
        <fgColor rgb="FFD9E1F2"/>
        <bgColor rgb="FFDEEAF1"/>
      </patternFill>
    </fill>
    <fill>
      <patternFill patternType="solid">
        <fgColor rgb="FFBDD7EE"/>
        <bgColor rgb="FFD9E1F2"/>
      </patternFill>
    </fill>
    <fill>
      <patternFill patternType="solid">
        <fgColor rgb="FF9DC3E6"/>
        <bgColor rgb="FFC0C0C0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FFF99"/>
      <rgbColor rgb="FF9DC3E6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3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8" hidden="false" customHeight="true" outlineLevel="0" collapsed="false">
      <c r="A3" s="3" t="s">
        <v>10</v>
      </c>
      <c r="B3" s="4" t="s">
        <v>11</v>
      </c>
      <c r="C3" s="5" t="n">
        <v>8</v>
      </c>
      <c r="D3" s="6" t="n">
        <v>10</v>
      </c>
      <c r="E3" s="7" t="n">
        <v>1</v>
      </c>
      <c r="F3" s="7" t="n">
        <v>0</v>
      </c>
      <c r="G3" s="8" t="n">
        <v>0.15</v>
      </c>
      <c r="H3" s="8" t="n">
        <v>0.2</v>
      </c>
      <c r="I3" s="3" t="s">
        <v>12</v>
      </c>
    </row>
    <row r="4" customFormat="false" ht="15" hidden="false" customHeight="false" outlineLevel="0" collapsed="false">
      <c r="A4" s="9" t="s">
        <v>13</v>
      </c>
      <c r="B4" s="10" t="s">
        <v>11</v>
      </c>
      <c r="C4" s="11" t="n">
        <v>12</v>
      </c>
      <c r="D4" s="12" t="n">
        <v>2</v>
      </c>
      <c r="E4" s="13" t="n">
        <v>5</v>
      </c>
      <c r="F4" s="13" t="n">
        <v>0</v>
      </c>
      <c r="G4" s="8" t="n">
        <v>0.1</v>
      </c>
      <c r="H4" s="8" t="n">
        <v>0.1</v>
      </c>
      <c r="I4" s="9" t="s">
        <v>14</v>
      </c>
    </row>
    <row r="5" customFormat="false" ht="15" hidden="false" customHeight="false" outlineLevel="0" collapsed="false">
      <c r="A5" s="3" t="s">
        <v>15</v>
      </c>
      <c r="B5" s="4" t="s">
        <v>16</v>
      </c>
      <c r="C5" s="5" t="n">
        <v>50</v>
      </c>
      <c r="D5" s="6" t="n">
        <v>0.5</v>
      </c>
      <c r="E5" s="7" t="n">
        <v>1</v>
      </c>
      <c r="F5" s="7" t="n">
        <v>40</v>
      </c>
      <c r="G5" s="8" t="n">
        <v>0.25</v>
      </c>
      <c r="H5" s="8" t="n">
        <v>0.1</v>
      </c>
      <c r="I5" s="3" t="s">
        <v>17</v>
      </c>
    </row>
    <row r="6" customFormat="false" ht="15" hidden="false" customHeight="false" outlineLevel="0" collapsed="false">
      <c r="A6" s="9" t="s">
        <v>18</v>
      </c>
      <c r="B6" s="10" t="s">
        <v>16</v>
      </c>
      <c r="C6" s="11" t="n">
        <v>20</v>
      </c>
      <c r="D6" s="12" t="n">
        <v>5</v>
      </c>
      <c r="E6" s="13" t="n">
        <v>1</v>
      </c>
      <c r="F6" s="13" t="n">
        <v>0</v>
      </c>
      <c r="G6" s="8" t="n">
        <v>0.2</v>
      </c>
      <c r="H6" s="8" t="n">
        <v>0.25</v>
      </c>
      <c r="I6" s="9" t="s">
        <v>19</v>
      </c>
    </row>
    <row r="7" customFormat="false" ht="15" hidden="false" customHeight="false" outlineLevel="0" collapsed="false">
      <c r="A7" s="3" t="s">
        <v>20</v>
      </c>
      <c r="B7" s="4" t="s">
        <v>21</v>
      </c>
      <c r="C7" s="5" t="n">
        <v>35</v>
      </c>
      <c r="D7" s="6" t="n">
        <v>1</v>
      </c>
      <c r="E7" s="7" t="n">
        <v>1</v>
      </c>
      <c r="F7" s="7" t="n">
        <v>20</v>
      </c>
      <c r="G7" s="8" t="n">
        <v>0.2</v>
      </c>
      <c r="H7" s="8" t="n">
        <v>0.15</v>
      </c>
      <c r="I7" s="3" t="s">
        <v>22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7" min="3" style="0" width="13"/>
  </cols>
  <sheetData>
    <row r="1" customFormat="false" ht="27.7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14" t="s">
        <v>1</v>
      </c>
      <c r="B2" s="14" t="s">
        <v>24</v>
      </c>
      <c r="C2" s="14" t="s">
        <v>25</v>
      </c>
      <c r="D2" s="14" t="s">
        <v>26</v>
      </c>
      <c r="E2" s="14" t="s">
        <v>27</v>
      </c>
      <c r="F2" s="14" t="s">
        <v>28</v>
      </c>
      <c r="G2" s="14" t="s">
        <v>29</v>
      </c>
    </row>
    <row r="3" customFormat="false" ht="15" hidden="false" customHeight="false" outlineLevel="0" collapsed="false">
      <c r="A3" s="15" t="s">
        <v>10</v>
      </c>
      <c r="B3" s="9" t="s">
        <v>30</v>
      </c>
      <c r="C3" s="16" t="n">
        <f aca="false">'Weapon Base Stats'!C3</f>
        <v>8</v>
      </c>
      <c r="D3" s="17" t="n">
        <f aca="false">CEILING(C3*(1+'Weapon Base Stats'!G3),1)</f>
        <v>10</v>
      </c>
      <c r="E3" s="18" t="n">
        <f aca="false">CEILING(D3*(1+'Weapon Base Stats'!G3),1)</f>
        <v>12</v>
      </c>
      <c r="F3" s="19" t="n">
        <f aca="false">CEILING(E3*(1+'Weapon Base Stats'!G3),1)</f>
        <v>14</v>
      </c>
      <c r="G3" s="20" t="n">
        <f aca="false">CEILING(F3*(1+'Weapon Base Stats'!G3),1)</f>
        <v>17</v>
      </c>
    </row>
    <row r="4" customFormat="false" ht="15" hidden="false" customHeight="false" outlineLevel="0" collapsed="false">
      <c r="A4" s="15"/>
      <c r="B4" s="3" t="s">
        <v>31</v>
      </c>
      <c r="C4" s="16" t="n">
        <f aca="false">'Weapon Base Stats'!D3</f>
        <v>10</v>
      </c>
      <c r="D4" s="17" t="n">
        <f aca="false">ROUND(C4*(1+'Weapon Base Stats'!H3),2)</f>
        <v>12</v>
      </c>
      <c r="E4" s="18" t="n">
        <f aca="false">ROUND(D4*(1+'Weapon Base Stats'!H3),2)</f>
        <v>14.4</v>
      </c>
      <c r="F4" s="19" t="n">
        <f aca="false">ROUND(E4*(1+'Weapon Base Stats'!H3),2)</f>
        <v>17.28</v>
      </c>
      <c r="G4" s="20" t="n">
        <f aca="false">ROUND(F4*(1+'Weapon Base Stats'!H3),2)</f>
        <v>20.74</v>
      </c>
    </row>
    <row r="5" customFormat="false" ht="15" hidden="false" customHeight="false" outlineLevel="0" collapsed="false">
      <c r="A5" s="15"/>
      <c r="B5" s="9" t="s">
        <v>32</v>
      </c>
      <c r="C5" s="16" t="n">
        <f aca="false">'Weapon Base Stats'!E3</f>
        <v>1</v>
      </c>
      <c r="D5" s="17" t="n">
        <f aca="false">CEILING(C5*(1+0.1),1)</f>
        <v>2</v>
      </c>
      <c r="E5" s="18" t="n">
        <f aca="false">CEILING(D5*(1+0.1),1)</f>
        <v>3</v>
      </c>
      <c r="F5" s="19" t="n">
        <f aca="false">CEILING(E5*(1+0.1),1)</f>
        <v>4</v>
      </c>
      <c r="G5" s="20" t="n">
        <f aca="false">CEILING(F5*(1+0.1),1)</f>
        <v>5</v>
      </c>
    </row>
    <row r="6" customFormat="false" ht="15" hidden="false" customHeight="false" outlineLevel="0" collapsed="false">
      <c r="A6" s="15"/>
      <c r="B6" s="3" t="s">
        <v>33</v>
      </c>
      <c r="C6" s="16" t="n">
        <f aca="false">'Weapon Base Stats'!F3</f>
        <v>0</v>
      </c>
      <c r="D6" s="17" t="n">
        <f aca="false">'Weapon Base Stats'!F3</f>
        <v>0</v>
      </c>
      <c r="E6" s="18" t="n">
        <f aca="false">'Weapon Base Stats'!F3</f>
        <v>0</v>
      </c>
      <c r="F6" s="19" t="n">
        <f aca="false">'Weapon Base Stats'!F3</f>
        <v>0</v>
      </c>
      <c r="G6" s="20" t="n">
        <f aca="false">'Weapon Base Stats'!F3</f>
        <v>0</v>
      </c>
    </row>
    <row r="7" customFormat="false" ht="15" hidden="false" customHeight="false" outlineLevel="0" collapsed="false">
      <c r="A7" s="15"/>
      <c r="B7" s="9" t="s">
        <v>34</v>
      </c>
      <c r="C7" s="16" t="n">
        <f aca="false">C3*C4*C5</f>
        <v>80</v>
      </c>
      <c r="D7" s="17" t="n">
        <f aca="false">D3*D4*D5</f>
        <v>240</v>
      </c>
      <c r="E7" s="18" t="n">
        <f aca="false">E3*E4*E5</f>
        <v>518.4</v>
      </c>
      <c r="F7" s="19" t="n">
        <f aca="false">F3*F4*F5</f>
        <v>967.68</v>
      </c>
      <c r="G7" s="20" t="n">
        <f aca="false">G3*G4*G5</f>
        <v>1762.9</v>
      </c>
    </row>
    <row r="8" customFormat="false" ht="15" hidden="false" customHeight="false" outlineLevel="0" collapsed="false">
      <c r="A8" s="21"/>
      <c r="B8" s="21"/>
      <c r="C8" s="21"/>
      <c r="D8" s="21"/>
      <c r="E8" s="21"/>
      <c r="F8" s="21"/>
      <c r="G8" s="21"/>
    </row>
    <row r="9" customFormat="false" ht="15" hidden="false" customHeight="false" outlineLevel="0" collapsed="false">
      <c r="A9" s="15" t="s">
        <v>13</v>
      </c>
      <c r="B9" s="9" t="s">
        <v>30</v>
      </c>
      <c r="C9" s="16" t="n">
        <f aca="false">'Weapon Base Stats'!C4</f>
        <v>12</v>
      </c>
      <c r="D9" s="17" t="n">
        <f aca="false">CEILING(C9*(1+'Weapon Base Stats'!G4),1)</f>
        <v>14</v>
      </c>
      <c r="E9" s="18" t="n">
        <f aca="false">CEILING(D9*(1+'Weapon Base Stats'!G4),1)</f>
        <v>16</v>
      </c>
      <c r="F9" s="19" t="n">
        <f aca="false">CEILING(E9*(1+'Weapon Base Stats'!G4),1)</f>
        <v>18</v>
      </c>
      <c r="G9" s="20" t="n">
        <f aca="false">CEILING(F9*(1+'Weapon Base Stats'!G4),1)</f>
        <v>20</v>
      </c>
    </row>
    <row r="10" customFormat="false" ht="15" hidden="false" customHeight="false" outlineLevel="0" collapsed="false">
      <c r="A10" s="15"/>
      <c r="B10" s="3" t="s">
        <v>31</v>
      </c>
      <c r="C10" s="16" t="n">
        <f aca="false">'Weapon Base Stats'!D4</f>
        <v>2</v>
      </c>
      <c r="D10" s="17" t="n">
        <f aca="false">ROUND(C10*(1+'Weapon Base Stats'!H4),2)</f>
        <v>2.2</v>
      </c>
      <c r="E10" s="18" t="n">
        <f aca="false">ROUND(D10*(1+'Weapon Base Stats'!H4),2)</f>
        <v>2.42</v>
      </c>
      <c r="F10" s="19" t="n">
        <f aca="false">ROUND(E10*(1+'Weapon Base Stats'!H4),2)</f>
        <v>2.66</v>
      </c>
      <c r="G10" s="20" t="n">
        <f aca="false">ROUND(F10*(1+'Weapon Base Stats'!H4),2)</f>
        <v>2.93</v>
      </c>
    </row>
    <row r="11" customFormat="false" ht="15" hidden="false" customHeight="false" outlineLevel="0" collapsed="false">
      <c r="A11" s="15"/>
      <c r="B11" s="9" t="s">
        <v>32</v>
      </c>
      <c r="C11" s="16" t="n">
        <f aca="false">'Weapon Base Stats'!E4</f>
        <v>5</v>
      </c>
      <c r="D11" s="17" t="n">
        <f aca="false">CEILING(C11*(1+0.25),1)</f>
        <v>7</v>
      </c>
      <c r="E11" s="18" t="n">
        <f aca="false">CEILING(D11*(1+0.25),1)</f>
        <v>9</v>
      </c>
      <c r="F11" s="19" t="n">
        <f aca="false">CEILING(E11*(1+0.25),1)</f>
        <v>12</v>
      </c>
      <c r="G11" s="20" t="n">
        <f aca="false">CEILING(F11*(1+0.25),1)</f>
        <v>15</v>
      </c>
    </row>
    <row r="12" customFormat="false" ht="15" hidden="false" customHeight="false" outlineLevel="0" collapsed="false">
      <c r="A12" s="15"/>
      <c r="B12" s="3" t="s">
        <v>33</v>
      </c>
      <c r="C12" s="16" t="n">
        <f aca="false">'Weapon Base Stats'!F4</f>
        <v>0</v>
      </c>
      <c r="D12" s="17" t="n">
        <f aca="false">'Weapon Base Stats'!F4</f>
        <v>0</v>
      </c>
      <c r="E12" s="18" t="n">
        <f aca="false">'Weapon Base Stats'!F4</f>
        <v>0</v>
      </c>
      <c r="F12" s="19" t="n">
        <f aca="false">'Weapon Base Stats'!F4</f>
        <v>0</v>
      </c>
      <c r="G12" s="20" t="n">
        <f aca="false">'Weapon Base Stats'!F4</f>
        <v>0</v>
      </c>
    </row>
    <row r="13" customFormat="false" ht="15" hidden="false" customHeight="false" outlineLevel="0" collapsed="false">
      <c r="A13" s="15"/>
      <c r="B13" s="9" t="s">
        <v>34</v>
      </c>
      <c r="C13" s="16" t="n">
        <f aca="false">C9*C10*C11</f>
        <v>120</v>
      </c>
      <c r="D13" s="17" t="n">
        <f aca="false">D9*D10*D11</f>
        <v>215.6</v>
      </c>
      <c r="E13" s="18" t="n">
        <f aca="false">E9*E10*E11</f>
        <v>348.48</v>
      </c>
      <c r="F13" s="19" t="n">
        <f aca="false">F9*F10*F11</f>
        <v>574.56</v>
      </c>
      <c r="G13" s="20" t="n">
        <f aca="false">G9*G10*G11</f>
        <v>879</v>
      </c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1"/>
      <c r="G14" s="21"/>
    </row>
    <row r="15" customFormat="false" ht="15" hidden="false" customHeight="false" outlineLevel="0" collapsed="false">
      <c r="A15" s="15" t="s">
        <v>15</v>
      </c>
      <c r="B15" s="9" t="s">
        <v>30</v>
      </c>
      <c r="C15" s="16" t="n">
        <f aca="false">'Weapon Base Stats'!C5</f>
        <v>50</v>
      </c>
      <c r="D15" s="17" t="n">
        <f aca="false">CEILING(C15*(1+'Weapon Base Stats'!G5),1)</f>
        <v>63</v>
      </c>
      <c r="E15" s="18" t="n">
        <f aca="false">CEILING(D15*(1+'Weapon Base Stats'!G5),1)</f>
        <v>79</v>
      </c>
      <c r="F15" s="19" t="n">
        <f aca="false">CEILING(E15*(1+'Weapon Base Stats'!G5),1)</f>
        <v>99</v>
      </c>
      <c r="G15" s="20" t="n">
        <f aca="false">CEILING(F15*(1+'Weapon Base Stats'!G5),1)</f>
        <v>124</v>
      </c>
    </row>
    <row r="16" customFormat="false" ht="15" hidden="false" customHeight="false" outlineLevel="0" collapsed="false">
      <c r="A16" s="15"/>
      <c r="B16" s="3" t="s">
        <v>31</v>
      </c>
      <c r="C16" s="16" t="n">
        <f aca="false">'Weapon Base Stats'!D5</f>
        <v>0.5</v>
      </c>
      <c r="D16" s="17" t="n">
        <f aca="false">ROUND(C16*(1+'Weapon Base Stats'!H5),2)</f>
        <v>0.55</v>
      </c>
      <c r="E16" s="18" t="n">
        <f aca="false">ROUND(D16*(1+'Weapon Base Stats'!H5),2)</f>
        <v>0.61</v>
      </c>
      <c r="F16" s="19" t="n">
        <f aca="false">ROUND(E16*(1+'Weapon Base Stats'!H5),2)</f>
        <v>0.67</v>
      </c>
      <c r="G16" s="20" t="n">
        <f aca="false">ROUND(F16*(1+'Weapon Base Stats'!H5),2)</f>
        <v>0.74</v>
      </c>
    </row>
    <row r="17" customFormat="false" ht="15" hidden="false" customHeight="false" outlineLevel="0" collapsed="false">
      <c r="A17" s="15"/>
      <c r="B17" s="9" t="s">
        <v>32</v>
      </c>
      <c r="C17" s="16" t="n">
        <f aca="false">'Weapon Base Stats'!E5</f>
        <v>1</v>
      </c>
      <c r="D17" s="17" t="n">
        <f aca="false">'Weapon Base Stats'!E5</f>
        <v>1</v>
      </c>
      <c r="E17" s="18" t="n">
        <f aca="false">'Weapon Base Stats'!E5</f>
        <v>1</v>
      </c>
      <c r="F17" s="19" t="n">
        <f aca="false">'Weapon Base Stats'!E5</f>
        <v>1</v>
      </c>
      <c r="G17" s="20" t="n">
        <f aca="false">'Weapon Base Stats'!E5</f>
        <v>1</v>
      </c>
    </row>
    <row r="18" customFormat="false" ht="15" hidden="false" customHeight="false" outlineLevel="0" collapsed="false">
      <c r="A18" s="15"/>
      <c r="B18" s="3" t="s">
        <v>33</v>
      </c>
      <c r="C18" s="16" t="n">
        <f aca="false">'Weapon Base Stats'!F5</f>
        <v>40</v>
      </c>
      <c r="D18" s="17" t="n">
        <f aca="false">CEILING(C18*(1+0.2),1)</f>
        <v>48</v>
      </c>
      <c r="E18" s="18" t="n">
        <f aca="false">CEILING(D18*(1+0.2),1)</f>
        <v>58</v>
      </c>
      <c r="F18" s="19" t="n">
        <f aca="false">CEILING(E18*(1+0.2),1)</f>
        <v>70</v>
      </c>
      <c r="G18" s="20" t="n">
        <f aca="false">CEILING(F18*(1+0.2),1)</f>
        <v>84</v>
      </c>
    </row>
    <row r="19" customFormat="false" ht="15" hidden="false" customHeight="false" outlineLevel="0" collapsed="false">
      <c r="A19" s="15"/>
      <c r="B19" s="9" t="s">
        <v>34</v>
      </c>
      <c r="C19" s="16" t="n">
        <f aca="false">C15*C16*C17</f>
        <v>25</v>
      </c>
      <c r="D19" s="17" t="n">
        <f aca="false">D15*D16*D17</f>
        <v>34.65</v>
      </c>
      <c r="E19" s="18" t="n">
        <f aca="false">E15*E16*E17</f>
        <v>48.19</v>
      </c>
      <c r="F19" s="19" t="n">
        <f aca="false">F15*F16*F17</f>
        <v>66.33</v>
      </c>
      <c r="G19" s="20" t="n">
        <f aca="false">G15*G16*G17</f>
        <v>91.76</v>
      </c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1"/>
      <c r="G20" s="21"/>
    </row>
    <row r="21" customFormat="false" ht="15" hidden="false" customHeight="false" outlineLevel="0" collapsed="false">
      <c r="A21" s="15" t="s">
        <v>18</v>
      </c>
      <c r="B21" s="9" t="s">
        <v>30</v>
      </c>
      <c r="C21" s="16" t="n">
        <f aca="false">'Weapon Base Stats'!C6</f>
        <v>20</v>
      </c>
      <c r="D21" s="17" t="n">
        <f aca="false">CEILING(C21*(1+'Weapon Base Stats'!G6),1)</f>
        <v>24</v>
      </c>
      <c r="E21" s="18" t="n">
        <f aca="false">CEILING(D21*(1+'Weapon Base Stats'!G6),1)</f>
        <v>29</v>
      </c>
      <c r="F21" s="19" t="n">
        <f aca="false">CEILING(E21*(1+'Weapon Base Stats'!G6),1)</f>
        <v>35</v>
      </c>
      <c r="G21" s="20" t="n">
        <f aca="false">CEILING(F21*(1+'Weapon Base Stats'!G6),1)</f>
        <v>42</v>
      </c>
    </row>
    <row r="22" customFormat="false" ht="15" hidden="false" customHeight="false" outlineLevel="0" collapsed="false">
      <c r="A22" s="15"/>
      <c r="B22" s="3" t="s">
        <v>31</v>
      </c>
      <c r="C22" s="16" t="n">
        <f aca="false">'Weapon Base Stats'!D6</f>
        <v>5</v>
      </c>
      <c r="D22" s="17" t="n">
        <f aca="false">ROUND(C22*(1+'Weapon Base Stats'!H6),2)</f>
        <v>6.25</v>
      </c>
      <c r="E22" s="18" t="n">
        <f aca="false">ROUND(D22*(1+'Weapon Base Stats'!H6),2)</f>
        <v>7.81</v>
      </c>
      <c r="F22" s="19" t="n">
        <f aca="false">ROUND(E22*(1+'Weapon Base Stats'!H6),2)</f>
        <v>9.76</v>
      </c>
      <c r="G22" s="20" t="n">
        <f aca="false">ROUND(F22*(1+'Weapon Base Stats'!H6),2)</f>
        <v>12.2</v>
      </c>
    </row>
    <row r="23" customFormat="false" ht="15" hidden="false" customHeight="false" outlineLevel="0" collapsed="false">
      <c r="A23" s="15"/>
      <c r="B23" s="9" t="s">
        <v>32</v>
      </c>
      <c r="C23" s="16" t="n">
        <f aca="false">'Weapon Base Stats'!E6</f>
        <v>1</v>
      </c>
      <c r="D23" s="17" t="n">
        <f aca="false">'Weapon Base Stats'!E6</f>
        <v>1</v>
      </c>
      <c r="E23" s="18" t="n">
        <f aca="false">'Weapon Base Stats'!E6</f>
        <v>1</v>
      </c>
      <c r="F23" s="19" t="n">
        <f aca="false">'Weapon Base Stats'!E6</f>
        <v>1</v>
      </c>
      <c r="G23" s="20" t="n">
        <f aca="false">'Weapon Base Stats'!E6</f>
        <v>1</v>
      </c>
    </row>
    <row r="24" customFormat="false" ht="15" hidden="false" customHeight="false" outlineLevel="0" collapsed="false">
      <c r="A24" s="15"/>
      <c r="B24" s="3" t="s">
        <v>33</v>
      </c>
      <c r="C24" s="16" t="n">
        <f aca="false">'Weapon Base Stats'!F6</f>
        <v>0</v>
      </c>
      <c r="D24" s="17" t="n">
        <f aca="false">'Weapon Base Stats'!F6</f>
        <v>0</v>
      </c>
      <c r="E24" s="18" t="n">
        <f aca="false">'Weapon Base Stats'!F6</f>
        <v>0</v>
      </c>
      <c r="F24" s="19" t="n">
        <f aca="false">'Weapon Base Stats'!F6</f>
        <v>0</v>
      </c>
      <c r="G24" s="20" t="n">
        <f aca="false">'Weapon Base Stats'!F6</f>
        <v>0</v>
      </c>
    </row>
    <row r="25" customFormat="false" ht="15" hidden="false" customHeight="false" outlineLevel="0" collapsed="false">
      <c r="A25" s="15"/>
      <c r="B25" s="9" t="s">
        <v>34</v>
      </c>
      <c r="C25" s="16" t="n">
        <f aca="false">C21*C22*C23</f>
        <v>100</v>
      </c>
      <c r="D25" s="17" t="n">
        <f aca="false">D21*D22*D23</f>
        <v>150</v>
      </c>
      <c r="E25" s="18" t="n">
        <f aca="false">E21*E22*E23</f>
        <v>226.49</v>
      </c>
      <c r="F25" s="19" t="n">
        <f aca="false">F21*F22*F23</f>
        <v>341.6</v>
      </c>
      <c r="G25" s="20" t="n">
        <f aca="false">G21*G22*G23</f>
        <v>512.4</v>
      </c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</row>
    <row r="27" customFormat="false" ht="15" hidden="false" customHeight="false" outlineLevel="0" collapsed="false">
      <c r="A27" s="15" t="s">
        <v>20</v>
      </c>
      <c r="B27" s="9" t="s">
        <v>30</v>
      </c>
      <c r="C27" s="16" t="n">
        <f aca="false">'Weapon Base Stats'!C7</f>
        <v>35</v>
      </c>
      <c r="D27" s="17" t="n">
        <f aca="false">CEILING(C27*(1+'Weapon Base Stats'!G7),1)</f>
        <v>42</v>
      </c>
      <c r="E27" s="18" t="n">
        <f aca="false">CEILING(D27*(1+'Weapon Base Stats'!G7),1)</f>
        <v>51</v>
      </c>
      <c r="F27" s="19" t="n">
        <f aca="false">CEILING(E27*(1+'Weapon Base Stats'!G7),1)</f>
        <v>62</v>
      </c>
      <c r="G27" s="20" t="n">
        <f aca="false">CEILING(F27*(1+'Weapon Base Stats'!G7),1)</f>
        <v>75</v>
      </c>
    </row>
    <row r="28" customFormat="false" ht="15" hidden="false" customHeight="false" outlineLevel="0" collapsed="false">
      <c r="A28" s="15"/>
      <c r="B28" s="3" t="s">
        <v>31</v>
      </c>
      <c r="C28" s="16" t="n">
        <f aca="false">'Weapon Base Stats'!D7</f>
        <v>1</v>
      </c>
      <c r="D28" s="17" t="n">
        <f aca="false">ROUND(C28*(1+'Weapon Base Stats'!H7),2)</f>
        <v>1.15</v>
      </c>
      <c r="E28" s="18" t="n">
        <f aca="false">ROUND(D28*(1+'Weapon Base Stats'!H7),2)</f>
        <v>1.32</v>
      </c>
      <c r="F28" s="19" t="n">
        <f aca="false">ROUND(E28*(1+'Weapon Base Stats'!H7),2)</f>
        <v>1.52</v>
      </c>
      <c r="G28" s="20" t="n">
        <f aca="false">ROUND(F28*(1+'Weapon Base Stats'!H7),2)</f>
        <v>1.75</v>
      </c>
    </row>
    <row r="29" customFormat="false" ht="15" hidden="false" customHeight="false" outlineLevel="0" collapsed="false">
      <c r="A29" s="15"/>
      <c r="B29" s="9" t="s">
        <v>32</v>
      </c>
      <c r="C29" s="16" t="n">
        <f aca="false">'Weapon Base Stats'!E7</f>
        <v>1</v>
      </c>
      <c r="D29" s="17" t="n">
        <f aca="false">CEILING(C29*(1+0.1),1)</f>
        <v>2</v>
      </c>
      <c r="E29" s="18" t="n">
        <f aca="false">CEILING(D29*(1+0.1),1)</f>
        <v>3</v>
      </c>
      <c r="F29" s="19" t="n">
        <f aca="false">CEILING(E29*(1+0.1),1)</f>
        <v>4</v>
      </c>
      <c r="G29" s="20" t="n">
        <f aca="false">CEILING(F29*(1+0.1),1)</f>
        <v>5</v>
      </c>
    </row>
    <row r="30" customFormat="false" ht="15" hidden="false" customHeight="false" outlineLevel="0" collapsed="false">
      <c r="A30" s="15"/>
      <c r="B30" s="3" t="s">
        <v>33</v>
      </c>
      <c r="C30" s="16" t="n">
        <f aca="false">'Weapon Base Stats'!F7</f>
        <v>20</v>
      </c>
      <c r="D30" s="17" t="n">
        <f aca="false">CEILING(C30*(1+0.15),1)</f>
        <v>23</v>
      </c>
      <c r="E30" s="18" t="n">
        <f aca="false">CEILING(D30*(1+0.15),1)</f>
        <v>27</v>
      </c>
      <c r="F30" s="19" t="n">
        <f aca="false">CEILING(E30*(1+0.15),1)</f>
        <v>32</v>
      </c>
      <c r="G30" s="20" t="n">
        <f aca="false">CEILING(F30*(1+0.15),1)</f>
        <v>37</v>
      </c>
    </row>
    <row r="31" customFormat="false" ht="15" hidden="false" customHeight="false" outlineLevel="0" collapsed="false">
      <c r="A31" s="15"/>
      <c r="B31" s="9" t="s">
        <v>34</v>
      </c>
      <c r="C31" s="16" t="n">
        <f aca="false">C27*C28*C29</f>
        <v>35</v>
      </c>
      <c r="D31" s="17" t="n">
        <f aca="false">D27*D28*D29</f>
        <v>96.6</v>
      </c>
      <c r="E31" s="18" t="n">
        <f aca="false">E27*E28*E29</f>
        <v>201.96</v>
      </c>
      <c r="F31" s="19" t="n">
        <f aca="false">F27*F28*F29</f>
        <v>376.96</v>
      </c>
      <c r="G31" s="20" t="n">
        <f aca="false">G27*G28*G29</f>
        <v>656.25</v>
      </c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1"/>
      <c r="G32" s="21"/>
    </row>
  </sheetData>
  <mergeCells count="6">
    <mergeCell ref="A1:M1"/>
    <mergeCell ref="A3:A7"/>
    <mergeCell ref="A9:A13"/>
    <mergeCell ref="A15:A19"/>
    <mergeCell ref="A21:A25"/>
    <mergeCell ref="A27:A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8" min="4" style="0" width="14"/>
    <col collapsed="false" customWidth="true" hidden="false" outlineLevel="0" max="10" min="9" style="0" width="12"/>
  </cols>
  <sheetData>
    <row r="1" customFormat="false" ht="27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2" t="s">
        <v>36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36" hidden="false" customHeight="true" outlineLevel="0" collapsed="false">
      <c r="A3" s="2" t="s">
        <v>1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</row>
    <row r="4" customFormat="false" ht="18" hidden="false" customHeight="true" outlineLevel="0" collapsed="false">
      <c r="A4" s="9" t="s">
        <v>10</v>
      </c>
      <c r="B4" s="23" t="n">
        <v>1</v>
      </c>
      <c r="C4" s="11" t="n">
        <f aca="false">INDEX('Tier Progression'!C3:G3,1,B4)</f>
        <v>8</v>
      </c>
      <c r="D4" s="12" t="n">
        <f aca="false">INDEX('Tier Progression'!C4:G4,1,B4)</f>
        <v>10</v>
      </c>
      <c r="E4" s="13" t="n">
        <f aca="false">INDEX('Tier Progression'!C5:G5,1,B4)</f>
        <v>1</v>
      </c>
      <c r="F4" s="24" t="n">
        <v>0</v>
      </c>
      <c r="G4" s="25" t="n">
        <v>1</v>
      </c>
      <c r="H4" s="25" t="n">
        <v>1</v>
      </c>
      <c r="I4" s="23" t="n">
        <v>0</v>
      </c>
      <c r="J4" s="26" t="n">
        <f aca="false">(C4+F4)*G4*D4*H4*(E4+I4)</f>
        <v>80</v>
      </c>
    </row>
    <row r="5" customFormat="false" ht="15" hidden="false" customHeight="false" outlineLevel="0" collapsed="false">
      <c r="A5" s="3" t="s">
        <v>13</v>
      </c>
      <c r="B5" s="23" t="n">
        <v>1</v>
      </c>
      <c r="C5" s="5" t="n">
        <f aca="false">INDEX('Tier Progression'!C9:G9,1,B5)</f>
        <v>12</v>
      </c>
      <c r="D5" s="6" t="n">
        <f aca="false">INDEX('Tier Progression'!C10:G10,1,B5)</f>
        <v>2</v>
      </c>
      <c r="E5" s="7" t="n">
        <f aca="false">INDEX('Tier Progression'!C11:G11,1,B5)</f>
        <v>5</v>
      </c>
      <c r="F5" s="24" t="n">
        <v>0</v>
      </c>
      <c r="G5" s="25" t="n">
        <v>1</v>
      </c>
      <c r="H5" s="25" t="n">
        <v>1</v>
      </c>
      <c r="I5" s="23" t="n">
        <v>0</v>
      </c>
      <c r="J5" s="26" t="n">
        <f aca="false">(C5+F5)*G5*D5*H5*(E5+I5)</f>
        <v>120</v>
      </c>
    </row>
    <row r="6" customFormat="false" ht="15" hidden="false" customHeight="false" outlineLevel="0" collapsed="false">
      <c r="A6" s="9" t="s">
        <v>15</v>
      </c>
      <c r="B6" s="23" t="n">
        <v>1</v>
      </c>
      <c r="C6" s="11" t="n">
        <f aca="false">INDEX('Tier Progression'!C15:G15,1,B6)</f>
        <v>50</v>
      </c>
      <c r="D6" s="12" t="n">
        <f aca="false">INDEX('Tier Progression'!C16:G16,1,B6)</f>
        <v>0.5</v>
      </c>
      <c r="E6" s="13" t="n">
        <f aca="false">INDEX('Tier Progression'!C17:G17,1,B6)</f>
        <v>1</v>
      </c>
      <c r="F6" s="24" t="n">
        <v>0</v>
      </c>
      <c r="G6" s="25" t="n">
        <v>1</v>
      </c>
      <c r="H6" s="25" t="n">
        <v>1</v>
      </c>
      <c r="I6" s="23" t="n">
        <v>0</v>
      </c>
      <c r="J6" s="26" t="n">
        <f aca="false">(C6+F6)*G6*D6*H6*(E6+I6)</f>
        <v>25</v>
      </c>
    </row>
    <row r="7" customFormat="false" ht="15" hidden="false" customHeight="false" outlineLevel="0" collapsed="false">
      <c r="A7" s="3" t="s">
        <v>18</v>
      </c>
      <c r="B7" s="23" t="n">
        <v>1</v>
      </c>
      <c r="C7" s="5" t="n">
        <f aca="false">INDEX('Tier Progression'!C21:G21,1,B7)</f>
        <v>20</v>
      </c>
      <c r="D7" s="6" t="n">
        <f aca="false">INDEX('Tier Progression'!C22:G22,1,B7)</f>
        <v>5</v>
      </c>
      <c r="E7" s="7" t="n">
        <f aca="false">INDEX('Tier Progression'!C23:G23,1,B7)</f>
        <v>1</v>
      </c>
      <c r="F7" s="24" t="n">
        <v>0</v>
      </c>
      <c r="G7" s="25" t="n">
        <v>1</v>
      </c>
      <c r="H7" s="25" t="n">
        <v>1</v>
      </c>
      <c r="I7" s="23" t="n">
        <v>0</v>
      </c>
      <c r="J7" s="26" t="n">
        <f aca="false">(C7+F7)*G7*D7*H7*(E7+I7)</f>
        <v>100</v>
      </c>
    </row>
    <row r="8" customFormat="false" ht="15" hidden="false" customHeight="false" outlineLevel="0" collapsed="false">
      <c r="A8" s="9" t="s">
        <v>20</v>
      </c>
      <c r="B8" s="23" t="n">
        <v>1</v>
      </c>
      <c r="C8" s="11" t="n">
        <f aca="false">INDEX('Tier Progression'!C27:G27,1,B8)</f>
        <v>35</v>
      </c>
      <c r="D8" s="12" t="n">
        <f aca="false">INDEX('Tier Progression'!C28:G28,1,B8)</f>
        <v>1</v>
      </c>
      <c r="E8" s="13" t="n">
        <f aca="false">INDEX('Tier Progression'!C29:G29,1,B8)</f>
        <v>1</v>
      </c>
      <c r="F8" s="24" t="n">
        <v>0</v>
      </c>
      <c r="G8" s="25" t="n">
        <v>1</v>
      </c>
      <c r="H8" s="25" t="n">
        <v>1</v>
      </c>
      <c r="I8" s="23" t="n">
        <v>0</v>
      </c>
      <c r="J8" s="26" t="n">
        <f aca="false">(C8+F8)*G8*D8*H8*(E8+I8)</f>
        <v>35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2026-02-26T21:35:41Z</dcterms:created>
  <dc:creator>openpyxl</dc:creator>
  <dc:description/>
  <dc:language>en-US</dc:language>
  <cp:lastModifiedBy/>
  <dcterms:modified xsi:type="dcterms:W3CDTF">2026-02-26T21:35:41Z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