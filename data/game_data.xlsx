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 Base Stats" sheetId="1" state="visible" r:id="rId1"/>
    <sheet name="Tier Progression" sheetId="2" state="visible" r:id="rId2"/>
    <sheet name="Card Simulator" sheetId="3" state="visible" r:id="rId3"/>
    <sheet name="Pilots" sheetId="4" state="visible" r:id="rId4"/>
    <sheet name="Card Combos" sheetId="5" state="visible" r:id="rId5"/>
    <sheet name="Rarity Distribution" sheetId="6" state="visible" r:id="rId6"/>
    <sheet name="JSON Export Guide" sheetId="7" state="visible" r:id="rId7"/>
    <sheet name="Effect Key Reference" sheetId="8" state="visible" r:id="rId8"/>
    <sheet name="Balance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0">
    <font>
      <name val="Calibri"/>
      <family val="2"/>
      <color theme="1"/>
      <sz val="11"/>
      <scheme val="minor"/>
    </font>
    <font>
      <name val="Calibri"/>
      <b val="1"/>
      <color rgb="00E8D87C"/>
      <sz val="13"/>
    </font>
    <font>
      <name val="Calibri"/>
      <b val="1"/>
      <color rgb="00E8D87C"/>
      <sz val="10"/>
    </font>
    <font>
      <name val="Calibri"/>
      <i val="1"/>
      <color rgb="006A7A8A"/>
      <sz val="9"/>
    </font>
    <font>
      <name val="Calibri"/>
      <color rgb="00C8D8E8"/>
      <sz val="10"/>
    </font>
    <font>
      <name val="Calibri"/>
      <color rgb="00A8E8A8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FFFFFF"/>
      <sz val="10"/>
    </font>
    <font>
      <name val="Calibri"/>
      <charset val="1"/>
      <family val="2"/>
      <color theme="1"/>
      <sz val="11"/>
    </font>
    <font>
      <name val="Arial"/>
      <charset val="1"/>
      <family val="0"/>
      <i val="1"/>
      <color rgb="FF595959"/>
      <sz val="9"/>
    </font>
    <font>
      <name val="Calibri"/>
      <b val="1"/>
      <color rgb="FFFFFFFF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rgb="00E8D87C"/>
      <sz val="12"/>
    </font>
    <font>
      <name val="Calibri"/>
      <color rgb="00E8B870"/>
      <sz val="10"/>
    </font>
  </fonts>
  <fills count="19">
    <fill>
      <patternFill/>
    </fill>
    <fill>
      <patternFill patternType="gray125"/>
    </fill>
    <fill>
      <patternFill patternType="solid">
        <fgColor rgb="000D1520"/>
      </patternFill>
    </fill>
    <fill>
      <patternFill patternType="solid">
        <fgColor rgb="001E2A3A"/>
      </patternFill>
    </fill>
    <fill>
      <patternFill patternType="solid">
        <fgColor rgb="001C2A1C"/>
      </patternFill>
    </fill>
    <fill>
      <patternFill patternType="solid">
        <fgColor rgb="002A3D2A"/>
      </patternFill>
    </fill>
    <fill>
      <patternFill patternType="solid">
        <fgColor rgb="FF1F3864"/>
        <bgColor rgb="FF333333"/>
      </patternFill>
    </fill>
    <fill>
      <patternFill patternType="solid">
        <fgColor rgb="FFDEEAF1"/>
        <bgColor rgb="FFD9E1F2"/>
      </patternFill>
    </fill>
    <fill>
      <patternFill patternType="solid">
        <fgColor rgb="FFF2F2F2"/>
        <bgColor rgb="FFDEEAF1"/>
      </patternFill>
    </fill>
    <fill>
      <patternFill patternType="solid">
        <fgColor rgb="FFD9E1F2"/>
        <bgColor rgb="FFDEEAF1"/>
      </patternFill>
    </fill>
    <fill>
      <patternFill patternType="solid">
        <fgColor rgb="FFBDD7EE"/>
        <bgColor rgb="FFD9E1F2"/>
      </patternFill>
    </fill>
    <fill>
      <patternFill patternType="solid">
        <fgColor rgb="FF9DC3E6"/>
        <bgColor rgb="FFC0C0C0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00161E2A"/>
      </patternFill>
    </fill>
    <fill>
      <patternFill patternType="solid">
        <fgColor rgb="003A2A10"/>
      </patternFill>
    </fill>
  </fills>
  <borders count="8">
    <border>
      <left/>
      <right/>
      <top/>
      <bottom/>
      <diagonal/>
    </border>
    <border>
      <left style="thin">
        <color rgb="002E4060"/>
      </left>
      <right style="thin">
        <color rgb="002E4060"/>
      </right>
      <top style="thin">
        <color rgb="002E4060"/>
      </top>
      <bottom style="thin">
        <color rgb="002E406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164" fontId="10" fillId="9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164" fontId="10" fillId="11" borderId="2" applyAlignment="1" pivotButton="0" quotePrefix="0" xfId="0">
      <alignment horizontal="center" vertical="center"/>
    </xf>
    <xf numFmtId="164" fontId="11" fillId="12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0" fontId="12" fillId="0" borderId="4" pivotButton="0" quotePrefix="0" xfId="0"/>
    <xf numFmtId="0" fontId="9" fillId="13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 wrapText="1"/>
    </xf>
    <xf numFmtId="1" fontId="9" fillId="14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2" fontId="9" fillId="8" borderId="2" applyAlignment="1" pivotButton="0" quotePrefix="0" xfId="0">
      <alignment horizontal="center" vertical="center"/>
    </xf>
    <xf numFmtId="1" fontId="9" fillId="8" borderId="2" applyAlignment="1" pivotButton="0" quotePrefix="0" xfId="0">
      <alignment horizontal="center" vertical="center"/>
    </xf>
    <xf numFmtId="164" fontId="9" fillId="14" borderId="2" applyAlignment="1" pivotButton="0" quotePrefix="0" xfId="0">
      <alignment horizontal="center" vertical="center"/>
    </xf>
    <xf numFmtId="2" fontId="9" fillId="14" borderId="2" applyAlignment="1" pivotButton="0" quotePrefix="0" xfId="0">
      <alignment horizontal="center" vertical="center"/>
    </xf>
    <xf numFmtId="165" fontId="8" fillId="15" borderId="2" applyAlignment="1" pivotButton="0" quotePrefix="0" xfId="0">
      <alignment horizontal="center" vertical="center"/>
    </xf>
    <xf numFmtId="164" fontId="9" fillId="13" borderId="2" applyAlignment="1" pivotButton="0" quotePrefix="0" xfId="0">
      <alignment horizontal="center" vertical="center"/>
    </xf>
    <xf numFmtId="2" fontId="9" fillId="13" borderId="2" applyAlignment="1" pivotButton="0" quotePrefix="0" xfId="0">
      <alignment horizontal="center" vertical="center"/>
    </xf>
    <xf numFmtId="1" fontId="9" fillId="13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16" borderId="6" applyAlignment="1" pivotButton="0" quotePrefix="0" xfId="0">
      <alignment horizontal="center" vertical="center"/>
    </xf>
    <xf numFmtId="0" fontId="15" fillId="0" borderId="6" pivotButton="0" quotePrefix="0" xfId="0"/>
    <xf numFmtId="0" fontId="16" fillId="0" borderId="6" pivotButton="0" quotePrefix="0" xfId="0"/>
    <xf numFmtId="0" fontId="2" fillId="3" borderId="0" pivotButton="0" quotePrefix="0" xfId="0"/>
    <xf numFmtId="0" fontId="4" fillId="17" borderId="0" applyAlignment="1" pivotButton="0" quotePrefix="0" xfId="0">
      <alignment wrapText="1"/>
    </xf>
    <xf numFmtId="0" fontId="2" fillId="3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17" fillId="0" borderId="5" pivotButton="0" quotePrefix="0" xfId="0"/>
    <xf numFmtId="0" fontId="18" fillId="2" borderId="0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9" customWidth="1" min="5" max="5"/>
    <col width="8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  <col width="8" customWidth="1" min="14" max="14"/>
    <col width="8" customWidth="1" min="15" max="15"/>
    <col width="7" customWidth="1" min="16" max="16"/>
    <col width="7" customWidth="1" min="17" max="17"/>
    <col width="7" customWidth="1" min="18" max="18"/>
    <col width="38" customWidth="1" min="19" max="19"/>
  </cols>
  <sheetData>
    <row r="1" ht="24" customHeight="1">
      <c r="A1" s="43" t="inlineStr">
        <is>
          <t>WEAPON BASE STATS  —  Dark rows = current. Green = fill in. Amber = incomplete (needs values). Do not rename columns.</t>
        </is>
      </c>
    </row>
    <row r="2" ht="44" customHeight="1">
      <c r="A2" s="2" t="inlineStr">
        <is>
          <t>Weapon ID
(snake_case)</t>
        </is>
      </c>
      <c r="B2" s="2" t="inlineStr">
        <is>
          <t>Display Name</t>
        </is>
      </c>
      <c r="C2" s="2" t="inlineStr">
        <is>
          <t>Type
ballistic/energy
missile/fire</t>
        </is>
      </c>
      <c r="D2" s="2" t="inlineStr">
        <is>
          <t>Base Damage
(tier 1)</t>
        </is>
      </c>
      <c r="E2" s="2" t="inlineStr">
        <is>
          <t>AOE Radius
(0=none, 0–1 scale)</t>
        </is>
      </c>
      <c r="F2" s="2" t="inlineStr">
        <is>
          <t>Burn %
(of hit damage)</t>
        </is>
      </c>
      <c r="G2" s="2" t="inlineStr">
        <is>
          <t>Burn Duration
(seconds)</t>
        </is>
      </c>
      <c r="H2" s="2" t="inlineStr">
        <is>
          <t>Split Count
(0=none)</t>
        </is>
      </c>
      <c r="I2" s="2" t="inlineStr">
        <is>
          <t>Split Trigger
impact/expiry/bounce</t>
        </is>
      </c>
      <c r="J2" s="2" t="inlineStr">
        <is>
          <t>Child DMG %
(of parent)</t>
        </is>
      </c>
      <c r="K2" s="2" t="inlineStr">
        <is>
          <t>Child Spread
(degrees)</t>
        </is>
      </c>
      <c r="L2" s="2" t="inlineStr">
        <is>
          <t>Fire Rate
(sec between shots)</t>
        </is>
      </c>
      <c r="M2" s="2" t="inlineStr">
        <is>
          <t>Bullet Speed
(pixels/sec)</t>
        </is>
      </c>
      <c r="N2" s="2" t="inlineStr">
        <is>
          <t>DMG Scale
(per tier)</t>
        </is>
      </c>
      <c r="O2" s="2" t="inlineStr">
        <is>
          <t>Rate Scale
(per tier)</t>
        </is>
      </c>
      <c r="P2" s="2" t="inlineStr">
        <is>
          <t>R (0–1)</t>
        </is>
      </c>
      <c r="Q2" s="2" t="inlineStr">
        <is>
          <t>G (0–1)</t>
        </is>
      </c>
      <c r="R2" s="2" t="inlineStr">
        <is>
          <t>B (0–1)</t>
        </is>
      </c>
      <c r="S2" s="2" t="inlineStr">
        <is>
          <t>Design Notes</t>
        </is>
      </c>
    </row>
    <row r="3" ht="18" customHeight="1">
      <c r="A3" s="3" t="inlineStr">
        <is>
          <t>Used as key in weapons.json</t>
        </is>
      </c>
      <c r="B3" s="3" t="inlineStr">
        <is>
          <t>Shown in HUD</t>
        </is>
      </c>
      <c r="C3" s="3" t="inlineStr">
        <is>
          <t>Affects pilot multipliers</t>
        </is>
      </c>
      <c r="D3" s="3" t="inlineStr">
        <is>
          <t>Integer</t>
        </is>
      </c>
      <c r="E3" s="3" t="inlineStr">
        <is>
          <t>Explosion radius on impact</t>
        </is>
      </c>
      <c r="F3" s="3" t="inlineStr">
        <is>
          <t>e.g. 0.5 = 50% burn damage</t>
        </is>
      </c>
      <c r="G3" s="3" t="inlineStr">
        <is>
          <t>How long DOT lasts</t>
        </is>
      </c>
      <c r="H3" s="3" t="inlineStr">
        <is>
          <t>Child projectiles spawned</t>
        </is>
      </c>
      <c r="I3" s="3" t="inlineStr">
        <is>
          <t>When children spawn</t>
        </is>
      </c>
      <c r="J3" s="3" t="inlineStr">
        <is>
          <t>e.g. 0.3 = 30% per child</t>
        </is>
      </c>
      <c r="K3" s="3" t="inlineStr">
        <is>
          <t>Fan angle for children</t>
        </is>
      </c>
      <c r="L3" s="3" t="inlineStr">
        <is>
          <t>Lower = faster</t>
        </is>
      </c>
      <c r="M3" s="3" t="inlineStr">
        <is>
          <t>Typical 500–1100</t>
        </is>
      </c>
      <c r="N3" s="3" t="inlineStr">
        <is>
          <t>e.g. 0.44 = +44% per tier</t>
        </is>
      </c>
      <c r="O3" s="3" t="inlineStr">
        <is>
          <t>e.g. 0.16 = faster per tier</t>
        </is>
      </c>
      <c r="P3" s="3" t="inlineStr">
        <is>
          <t>Bullet colour</t>
        </is>
      </c>
      <c r="Q3" s="3" t="inlineStr"/>
      <c r="R3" s="3" t="inlineStr"/>
      <c r="S3" s="3" t="inlineStr"/>
    </row>
    <row r="4" ht="18" customHeight="1">
      <c r="A4" s="4" t="inlineStr">
        <is>
          <t>machine_gun</t>
        </is>
      </c>
      <c r="B4" s="4" t="inlineStr">
        <is>
          <t>Machine Gun</t>
        </is>
      </c>
      <c r="C4" s="4" t="inlineStr">
        <is>
          <t>ballistic</t>
        </is>
      </c>
      <c r="D4" s="4" t="n">
        <v>10</v>
      </c>
      <c r="E4" s="4" t="n">
        <v>0</v>
      </c>
      <c r="F4" s="4" t="n">
        <v>0</v>
      </c>
      <c r="G4" s="4" t="n">
        <v>0</v>
      </c>
      <c r="H4" s="4" t="n">
        <v>0</v>
      </c>
      <c r="I4" s="4" t="inlineStr"/>
      <c r="J4" s="4" t="n">
        <v>0</v>
      </c>
      <c r="K4" s="4" t="n">
        <v>0</v>
      </c>
      <c r="L4" s="4" t="n">
        <v>0.2</v>
      </c>
      <c r="M4" s="4" t="n">
        <v>900</v>
      </c>
      <c r="N4" s="4" t="n">
        <v>0.44</v>
      </c>
      <c r="O4" s="4" t="n">
        <v>0.16</v>
      </c>
      <c r="P4" s="4" t="n">
        <v>1</v>
      </c>
      <c r="Q4" s="4" t="n">
        <v>1</v>
      </c>
      <c r="R4" s="4" t="n">
        <v>0.2</v>
      </c>
      <c r="S4" s="5" t="inlineStr">
        <is>
          <t>Fast, low damage. Yellow tracer.</t>
        </is>
      </c>
    </row>
    <row r="5" ht="18" customHeight="1">
      <c r="A5" s="4" t="inlineStr">
        <is>
          <t>energy_beam</t>
        </is>
      </c>
      <c r="B5" s="4" t="inlineStr">
        <is>
          <t>Energy Beam</t>
        </is>
      </c>
      <c r="C5" s="4" t="inlineStr">
        <is>
          <t>energy</t>
        </is>
      </c>
      <c r="D5" s="4" t="n">
        <v>18</v>
      </c>
      <c r="E5" s="4" t="n">
        <v>0.2</v>
      </c>
      <c r="F5" s="4" t="n">
        <v>0.1</v>
      </c>
      <c r="G5" s="4" t="n">
        <v>1</v>
      </c>
      <c r="H5" s="4" t="n">
        <v>0</v>
      </c>
      <c r="I5" s="4" t="inlineStr"/>
      <c r="J5" s="4" t="n">
        <v>0</v>
      </c>
      <c r="K5" s="4" t="n">
        <v>0</v>
      </c>
      <c r="L5" s="4" t="n">
        <v>0.38</v>
      </c>
      <c r="M5" s="4" t="n">
        <v>1100</v>
      </c>
      <c r="N5" s="4" t="n">
        <v>0.44</v>
      </c>
      <c r="O5" s="4" t="n">
        <v>0.16</v>
      </c>
      <c r="P5" s="4" t="n">
        <v>0.2</v>
      </c>
      <c r="Q5" s="4" t="n">
        <v>0.8</v>
      </c>
      <c r="R5" s="4" t="n">
        <v>1</v>
      </c>
      <c r="S5" s="5" t="inlineStr">
        <is>
          <t>Mid damage, fastest bullet. Minor burn.</t>
        </is>
      </c>
    </row>
    <row r="6" ht="18" customHeight="1">
      <c r="A6" s="4" t="inlineStr">
        <is>
          <t>missile</t>
        </is>
      </c>
      <c r="B6" s="4" t="inlineStr">
        <is>
          <t>Missile</t>
        </is>
      </c>
      <c r="C6" s="4" t="inlineStr">
        <is>
          <t>missile</t>
        </is>
      </c>
      <c r="D6" s="4" t="n">
        <v>35</v>
      </c>
      <c r="E6" s="4" t="n">
        <v>0.3</v>
      </c>
      <c r="F6" s="4" t="n">
        <v>0.02</v>
      </c>
      <c r="G6" s="4" t="n">
        <v>1</v>
      </c>
      <c r="H6" s="4" t="n">
        <v>0</v>
      </c>
      <c r="I6" s="4" t="inlineStr"/>
      <c r="J6" s="4" t="n">
        <v>0</v>
      </c>
      <c r="K6" s="4" t="n">
        <v>0</v>
      </c>
      <c r="L6" s="4" t="n">
        <v>0.75</v>
      </c>
      <c r="M6" s="4" t="n">
        <v>500</v>
      </c>
      <c r="N6" s="4" t="n">
        <v>0.44</v>
      </c>
      <c r="O6" s="4" t="n">
        <v>0.16</v>
      </c>
      <c r="P6" s="4" t="n">
        <v>1</v>
      </c>
      <c r="Q6" s="4" t="n">
        <v>0.35</v>
      </c>
      <c r="R6" s="4" t="n">
        <v>0.1</v>
      </c>
      <c r="S6" s="5" t="inlineStr">
        <is>
          <t>Slow fire, heavy damage. Minor burn.</t>
        </is>
      </c>
    </row>
    <row r="7" ht="18" customHeight="1">
      <c r="A7" s="6" t="inlineStr">
        <is>
          <t>heavy_machine_gun</t>
        </is>
      </c>
      <c r="B7" s="6" t="inlineStr">
        <is>
          <t>Heavy Machine Gun</t>
        </is>
      </c>
      <c r="C7" s="6" t="inlineStr">
        <is>
          <t>ballistic</t>
        </is>
      </c>
      <c r="D7" s="6" t="n">
        <v>14</v>
      </c>
      <c r="E7" s="6" t="n">
        <v>0</v>
      </c>
      <c r="F7" s="6" t="n">
        <v>0</v>
      </c>
      <c r="G7" s="6" t="n">
        <v>0</v>
      </c>
      <c r="H7" s="6" t="n">
        <v>0</v>
      </c>
      <c r="I7" s="6" t="inlineStr"/>
      <c r="J7" s="6" t="n">
        <v>0</v>
      </c>
      <c r="K7" s="6" t="n">
        <v>0</v>
      </c>
      <c r="L7" s="6" t="n">
        <v>0.25</v>
      </c>
      <c r="M7" s="6" t="n">
        <v>700</v>
      </c>
      <c r="N7" s="6" t="n">
        <v>0.44</v>
      </c>
      <c r="O7" s="6" t="n">
        <v>0.16</v>
      </c>
      <c r="P7" s="6" t="n">
        <v>0.9</v>
      </c>
      <c r="Q7" s="6" t="n">
        <v>0.9</v>
      </c>
      <c r="R7" s="6" t="n">
        <v>1</v>
      </c>
      <c r="S7" s="7" t="inlineStr">
        <is>
          <t>Higher damage, slightly slower than MG.</t>
        </is>
      </c>
    </row>
    <row r="8" ht="18" customHeight="1">
      <c r="A8" s="6" t="inlineStr">
        <is>
          <t>homing_missile</t>
        </is>
      </c>
      <c r="B8" s="6" t="inlineStr">
        <is>
          <t>Homing Missile</t>
        </is>
      </c>
      <c r="C8" s="6" t="inlineStr">
        <is>
          <t>missile</t>
        </is>
      </c>
      <c r="D8" s="6" t="n">
        <v>30</v>
      </c>
      <c r="E8" s="6" t="n">
        <v>0.3</v>
      </c>
      <c r="F8" s="6" t="n">
        <v>0.02</v>
      </c>
      <c r="G8" s="6" t="n">
        <v>1</v>
      </c>
      <c r="H8" s="6" t="n">
        <v>0</v>
      </c>
      <c r="I8" s="6" t="inlineStr"/>
      <c r="J8" s="6" t="n">
        <v>0</v>
      </c>
      <c r="K8" s="6" t="n">
        <v>0</v>
      </c>
      <c r="L8" s="6" t="n">
        <v>0.8</v>
      </c>
      <c r="M8" s="6" t="n">
        <v>400</v>
      </c>
      <c r="N8" s="6" t="n">
        <v>0.44</v>
      </c>
      <c r="O8" s="6" t="n">
        <v>0.16</v>
      </c>
      <c r="P8" s="6" t="n">
        <v>1</v>
      </c>
      <c r="Q8" s="6" t="n">
        <v>0.2</v>
      </c>
      <c r="R8" s="6" t="n">
        <v>0</v>
      </c>
      <c r="S8" s="7" t="inlineStr">
        <is>
          <t>Steers toward nearest enemy. Needs homing system.</t>
        </is>
      </c>
    </row>
    <row r="9" ht="18" customHeight="1">
      <c r="A9" s="6" t="inlineStr">
        <is>
          <t>napalm</t>
        </is>
      </c>
      <c r="B9" s="6" t="inlineStr">
        <is>
          <t>Napalm</t>
        </is>
      </c>
      <c r="C9" s="6" t="inlineStr">
        <is>
          <t>fire</t>
        </is>
      </c>
      <c r="D9" s="6" t="n">
        <v>20</v>
      </c>
      <c r="E9" s="6" t="n">
        <v>0.5</v>
      </c>
      <c r="F9" s="6" t="n">
        <v>0.5</v>
      </c>
      <c r="G9" s="6" t="n">
        <v>3</v>
      </c>
      <c r="H9" s="6" t="n">
        <v>0</v>
      </c>
      <c r="I9" s="6" t="inlineStr"/>
      <c r="J9" s="6" t="n">
        <v>0</v>
      </c>
      <c r="K9" s="6" t="n">
        <v>0</v>
      </c>
      <c r="L9" s="6" t="n">
        <v>0.6</v>
      </c>
      <c r="M9" s="6" t="n">
        <v>600</v>
      </c>
      <c r="N9" s="6" t="n">
        <v>0.44</v>
      </c>
      <c r="O9" s="6" t="n">
        <v>0.12</v>
      </c>
      <c r="P9" s="6" t="n">
        <v>1</v>
      </c>
      <c r="Q9" s="6" t="n">
        <v>0.4</v>
      </c>
      <c r="R9" s="6" t="n">
        <v>0</v>
      </c>
      <c r="S9" s="7" t="inlineStr">
        <is>
          <t>Hits → applies burn DOT. Fire type.</t>
        </is>
      </c>
    </row>
    <row r="10" ht="18" customHeight="1">
      <c r="A10" s="6" t="inlineStr">
        <is>
          <t>nuke</t>
        </is>
      </c>
      <c r="B10" s="6" t="inlineStr">
        <is>
          <t>Nuke</t>
        </is>
      </c>
      <c r="C10" s="6" t="inlineStr">
        <is>
          <t>missile</t>
        </is>
      </c>
      <c r="D10" s="6" t="n">
        <v>200</v>
      </c>
      <c r="E10" s="6" t="n">
        <v>1</v>
      </c>
      <c r="F10" s="6" t="n">
        <v>0.75</v>
      </c>
      <c r="G10" s="6" t="n">
        <v>5</v>
      </c>
      <c r="H10" s="6" t="n">
        <v>0</v>
      </c>
      <c r="I10" s="6" t="inlineStr"/>
      <c r="J10" s="6" t="n">
        <v>0</v>
      </c>
      <c r="K10" s="6" t="n">
        <v>0</v>
      </c>
      <c r="L10" s="6" t="n">
        <v>1</v>
      </c>
      <c r="M10" s="6" t="n">
        <v>500</v>
      </c>
      <c r="N10" s="6" t="n">
        <v>0.44</v>
      </c>
      <c r="O10" s="6" t="n">
        <v>0.1</v>
      </c>
      <c r="P10" s="6" t="n">
        <v>1</v>
      </c>
      <c r="Q10" s="6" t="n">
        <v>1</v>
      </c>
      <c r="R10" s="6" t="n">
        <v>0.9</v>
      </c>
      <c r="S10" s="7" t="inlineStr">
        <is>
          <t>Massive AOE + heavy burn. Slow fire.</t>
        </is>
      </c>
    </row>
    <row r="11" ht="18" customHeight="1">
      <c r="A11" s="6" t="inlineStr">
        <is>
          <t>cluster_bomb</t>
        </is>
      </c>
      <c r="B11" s="6" t="inlineStr">
        <is>
          <t>Cluster Bomb</t>
        </is>
      </c>
      <c r="C11" s="6" t="inlineStr">
        <is>
          <t>ballistic</t>
        </is>
      </c>
      <c r="D11" s="6" t="n">
        <v>100</v>
      </c>
      <c r="E11" s="6" t="n">
        <v>0.3</v>
      </c>
      <c r="F11" s="6" t="n">
        <v>0.01</v>
      </c>
      <c r="G11" s="6" t="n">
        <v>1</v>
      </c>
      <c r="H11" s="6" t="n">
        <v>10</v>
      </c>
      <c r="I11" s="6" t="inlineStr">
        <is>
          <t>impact</t>
        </is>
      </c>
      <c r="J11" s="6" t="n">
        <v>0.3</v>
      </c>
      <c r="K11" s="6" t="n">
        <v>45</v>
      </c>
      <c r="L11" s="6" t="n">
        <v>0.5</v>
      </c>
      <c r="M11" s="6" t="n">
        <v>500</v>
      </c>
      <c r="N11" s="6" t="n">
        <v>0.44</v>
      </c>
      <c r="O11" s="6" t="n">
        <v>0.12</v>
      </c>
      <c r="P11" s="6" t="n">
        <v>0.8</v>
      </c>
      <c r="Q11" s="6" t="n">
        <v>1</v>
      </c>
      <c r="R11" s="6" t="n">
        <v>0.2</v>
      </c>
      <c r="S11" s="7" t="inlineStr">
        <is>
          <t>Explodes into 10 child projectiles on impact.</t>
        </is>
      </c>
    </row>
    <row r="12" ht="18" customHeight="1">
      <c r="A12" s="44" t="inlineStr">
        <is>
          <t>nano_bots</t>
        </is>
      </c>
      <c r="B12" s="44" t="inlineStr">
        <is>
          <t>Nano Bots</t>
        </is>
      </c>
      <c r="C12" s="44" t="inlineStr">
        <is>
          <t>energy</t>
        </is>
      </c>
      <c r="D12" s="44" t="n">
        <v>1</v>
      </c>
      <c r="E12" s="44" t="n">
        <v>0</v>
      </c>
      <c r="F12" s="44" t="n">
        <v>0</v>
      </c>
      <c r="G12" s="44" t="n">
        <v>0</v>
      </c>
      <c r="H12" s="47" t="n">
        <v>20</v>
      </c>
      <c r="I12" s="47" t="inlineStr">
        <is>
          <t>impact</t>
        </is>
      </c>
      <c r="J12" s="47" t="n">
        <v>0.1</v>
      </c>
      <c r="K12" s="44" t="inlineStr">
        <is>
          <t>?</t>
        </is>
      </c>
      <c r="L12" s="4" t="n">
        <v>0.2</v>
      </c>
      <c r="M12" s="4" t="n">
        <v>900</v>
      </c>
      <c r="N12" s="4" t="n">
        <v>0.44</v>
      </c>
      <c r="O12" s="4" t="n">
        <v>0.16</v>
      </c>
      <c r="P12" s="4" t="n">
        <v>0</v>
      </c>
      <c r="Q12" s="4" t="n">
        <v>1</v>
      </c>
      <c r="R12" s="4" t="n">
        <v>0.8</v>
      </c>
      <c r="S12" s="48" t="inlineStr">
        <is>
          <t>20 bots spawn on impact, each with independent base dmg 6 (child_dmg_pct = bonus on top). Weapon merging in Pilot Academy makes these scale fast.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796875" defaultRowHeight="15" zeroHeight="0" outlineLevelRow="0"/>
  <cols>
    <col width="18" customWidth="1" min="1" max="1"/>
    <col width="16" customWidth="1" min="2" max="2"/>
    <col width="13" customWidth="1" min="3" max="3"/>
  </cols>
  <sheetData>
    <row r="1" ht="27.75" customHeight="1">
      <c r="A1" s="8" t="inlineStr">
        <is>
          <t>⚔️  WEAPON TIER PROGRESSION  (formulas pull from 'Weapon Base Stats')</t>
        </is>
      </c>
    </row>
    <row r="2" ht="21.75" customHeight="1">
      <c r="A2" s="9" t="inlineStr">
        <is>
          <t>Weapon</t>
        </is>
      </c>
      <c r="B2" s="9" t="inlineStr">
        <is>
          <t>Stat</t>
        </is>
      </c>
      <c r="C2" s="9" t="inlineStr">
        <is>
          <t>Tier 1</t>
        </is>
      </c>
      <c r="D2" s="9" t="inlineStr">
        <is>
          <t>Tier 2</t>
        </is>
      </c>
      <c r="E2" s="9" t="inlineStr">
        <is>
          <t>Tier 3</t>
        </is>
      </c>
      <c r="F2" s="9" t="inlineStr">
        <is>
          <t>Tier 4</t>
        </is>
      </c>
      <c r="G2" s="9" t="inlineStr">
        <is>
          <t>Tier 5</t>
        </is>
      </c>
    </row>
    <row r="3" ht="15" customHeight="1">
      <c r="A3" s="10" t="inlineStr">
        <is>
          <t>Machine Gun</t>
        </is>
      </c>
      <c r="B3" s="11" t="inlineStr">
        <is>
          <t>Damage</t>
        </is>
      </c>
      <c r="C3" s="12">
        <f>'Weapon Base Stats'!C3</f>
        <v/>
      </c>
      <c r="D3" s="13">
        <f>CEILING(C3*(1+'Weapon Base Stats'!G3),1)</f>
        <v/>
      </c>
      <c r="E3" s="14">
        <f>CEILING(D3*(1+'Weapon Base Stats'!G3),1)</f>
        <v/>
      </c>
      <c r="F3" s="15">
        <f>CEILING(E3*(1+'Weapon Base Stats'!G3),1)</f>
        <v/>
      </c>
      <c r="G3" s="16">
        <f>CEILING(F3*(1+'Weapon Base Stats'!G3),1)</f>
        <v/>
      </c>
    </row>
    <row r="4" ht="15" customHeight="1">
      <c r="A4" s="46" t="n"/>
      <c r="B4" s="18" t="inlineStr">
        <is>
          <t>Fire Rate</t>
        </is>
      </c>
      <c r="C4" s="12">
        <f>'Weapon Base Stats'!D3</f>
        <v/>
      </c>
      <c r="D4" s="13">
        <f>ROUND(C4*(1+'Weapon Base Stats'!H3),2)</f>
        <v/>
      </c>
      <c r="E4" s="14">
        <f>ROUND(D4*(1+'Weapon Base Stats'!H3),2)</f>
        <v/>
      </c>
      <c r="F4" s="15">
        <f>ROUND(E4*(1+'Weapon Base Stats'!H3),2)</f>
        <v/>
      </c>
      <c r="G4" s="16">
        <f>ROUND(F4*(1+'Weapon Base Stats'!H3),2)</f>
        <v/>
      </c>
    </row>
    <row r="5" ht="15" customHeight="1">
      <c r="A5" s="46" t="n"/>
      <c r="B5" s="11" t="inlineStr">
        <is>
          <t>Projectiles</t>
        </is>
      </c>
      <c r="C5" s="12">
        <f>'Weapon Base Stats'!E3</f>
        <v/>
      </c>
      <c r="D5" s="13">
        <f>CEILING(C5*(1+0.1),1)</f>
        <v/>
      </c>
      <c r="E5" s="14">
        <f>CEILING(D5*(1+0.1),1)</f>
        <v/>
      </c>
      <c r="F5" s="15">
        <f>CEILING(E5*(1+0.1),1)</f>
        <v/>
      </c>
      <c r="G5" s="16">
        <f>CEILING(F5*(1+0.1),1)</f>
        <v/>
      </c>
    </row>
    <row r="6" ht="15" customHeight="1">
      <c r="A6" s="46" t="n"/>
      <c r="B6" s="18" t="inlineStr">
        <is>
          <t>AOE Radius</t>
        </is>
      </c>
      <c r="C6" s="12">
        <f>'Weapon Base Stats'!F3</f>
        <v/>
      </c>
      <c r="D6" s="13">
        <f>'Weapon Base Stats'!F3</f>
        <v/>
      </c>
      <c r="E6" s="14">
        <f>'Weapon Base Stats'!F3</f>
        <v/>
      </c>
      <c r="F6" s="15">
        <f>'Weapon Base Stats'!F3</f>
        <v/>
      </c>
      <c r="G6" s="16">
        <f>'Weapon Base Stats'!F3</f>
        <v/>
      </c>
    </row>
    <row r="7" ht="15" customHeight="1">
      <c r="A7" s="46" t="n"/>
      <c r="B7" s="11" t="inlineStr">
        <is>
          <t>DPS (dmg×rof×proj)</t>
        </is>
      </c>
      <c r="C7" s="12">
        <f>C3*C4*C5</f>
        <v/>
      </c>
      <c r="D7" s="13">
        <f>D3*D4*D5</f>
        <v/>
      </c>
      <c r="E7" s="14">
        <f>E3*E4*E5</f>
        <v/>
      </c>
      <c r="F7" s="15">
        <f>F3*F4*F5</f>
        <v/>
      </c>
      <c r="G7" s="16">
        <f>G3*G4*G5</f>
        <v/>
      </c>
    </row>
    <row r="8" ht="15" customHeight="1">
      <c r="A8" s="19" t="n"/>
      <c r="B8" s="19" t="n"/>
      <c r="C8" s="19" t="n"/>
      <c r="D8" s="19" t="n"/>
      <c r="E8" s="19" t="n"/>
      <c r="F8" s="19" t="n"/>
      <c r="G8" s="19" t="n"/>
    </row>
    <row r="9" ht="15" customHeight="1">
      <c r="A9" s="10" t="inlineStr">
        <is>
          <t>Shotgun</t>
        </is>
      </c>
      <c r="B9" s="11" t="inlineStr">
        <is>
          <t>Damage</t>
        </is>
      </c>
      <c r="C9" s="12">
        <f>'Weapon Base Stats'!C4</f>
        <v/>
      </c>
      <c r="D9" s="13">
        <f>CEILING(C9*(1+'Weapon Base Stats'!G4),1)</f>
        <v/>
      </c>
      <c r="E9" s="14">
        <f>CEILING(D9*(1+'Weapon Base Stats'!G4),1)</f>
        <v/>
      </c>
      <c r="F9" s="15">
        <f>CEILING(E9*(1+'Weapon Base Stats'!G4),1)</f>
        <v/>
      </c>
      <c r="G9" s="16">
        <f>CEILING(F9*(1+'Weapon Base Stats'!G4),1)</f>
        <v/>
      </c>
    </row>
    <row r="10" ht="15" customHeight="1">
      <c r="A10" s="46" t="n"/>
      <c r="B10" s="18" t="inlineStr">
        <is>
          <t>Fire Rate</t>
        </is>
      </c>
      <c r="C10" s="12">
        <f>'Weapon Base Stats'!D4</f>
        <v/>
      </c>
      <c r="D10" s="13">
        <f>ROUND(C10*(1+'Weapon Base Stats'!H4),2)</f>
        <v/>
      </c>
      <c r="E10" s="14">
        <f>ROUND(D10*(1+'Weapon Base Stats'!H4),2)</f>
        <v/>
      </c>
      <c r="F10" s="15">
        <f>ROUND(E10*(1+'Weapon Base Stats'!H4),2)</f>
        <v/>
      </c>
      <c r="G10" s="16">
        <f>ROUND(F10*(1+'Weapon Base Stats'!H4),2)</f>
        <v/>
      </c>
    </row>
    <row r="11" ht="15" customHeight="1">
      <c r="A11" s="46" t="n"/>
      <c r="B11" s="11" t="inlineStr">
        <is>
          <t>Projectiles</t>
        </is>
      </c>
      <c r="C11" s="12">
        <f>'Weapon Base Stats'!E4</f>
        <v/>
      </c>
      <c r="D11" s="13">
        <f>CEILING(C11*(1+0.25),1)</f>
        <v/>
      </c>
      <c r="E11" s="14">
        <f>CEILING(D11*(1+0.25),1)</f>
        <v/>
      </c>
      <c r="F11" s="15">
        <f>CEILING(E11*(1+0.25),1)</f>
        <v/>
      </c>
      <c r="G11" s="16">
        <f>CEILING(F11*(1+0.25),1)</f>
        <v/>
      </c>
    </row>
    <row r="12" ht="15" customHeight="1">
      <c r="A12" s="46" t="n"/>
      <c r="B12" s="18" t="inlineStr">
        <is>
          <t>AOE Radius</t>
        </is>
      </c>
      <c r="C12" s="12">
        <f>'Weapon Base Stats'!F4</f>
        <v/>
      </c>
      <c r="D12" s="13">
        <f>'Weapon Base Stats'!F4</f>
        <v/>
      </c>
      <c r="E12" s="14">
        <f>'Weapon Base Stats'!F4</f>
        <v/>
      </c>
      <c r="F12" s="15">
        <f>'Weapon Base Stats'!F4</f>
        <v/>
      </c>
      <c r="G12" s="16">
        <f>'Weapon Base Stats'!F4</f>
        <v/>
      </c>
    </row>
    <row r="13" ht="15" customHeight="1">
      <c r="A13" s="46" t="n"/>
      <c r="B13" s="11" t="inlineStr">
        <is>
          <t>DPS (dmg×rof×proj)</t>
        </is>
      </c>
      <c r="C13" s="12">
        <f>C9*C10*C11</f>
        <v/>
      </c>
      <c r="D13" s="13">
        <f>D9*D10*D11</f>
        <v/>
      </c>
      <c r="E13" s="14">
        <f>E9*E10*E11</f>
        <v/>
      </c>
      <c r="F13" s="15">
        <f>F9*F10*F11</f>
        <v/>
      </c>
      <c r="G13" s="16">
        <f>G9*G10*G11</f>
        <v/>
      </c>
    </row>
    <row r="14" ht="15" customHeight="1">
      <c r="A14" s="19" t="n"/>
      <c r="B14" s="19" t="n"/>
      <c r="C14" s="19" t="n"/>
      <c r="D14" s="19" t="n"/>
      <c r="E14" s="19" t="n"/>
      <c r="F14" s="19" t="n"/>
      <c r="G14" s="19" t="n"/>
    </row>
    <row r="15" ht="15" customHeight="1">
      <c r="A15" s="10" t="inlineStr">
        <is>
          <t>Plasma Cannon</t>
        </is>
      </c>
      <c r="B15" s="11" t="inlineStr">
        <is>
          <t>Damage</t>
        </is>
      </c>
      <c r="C15" s="12">
        <f>'Weapon Base Stats'!C5</f>
        <v/>
      </c>
      <c r="D15" s="13">
        <f>CEILING(C15*(1+'Weapon Base Stats'!G5),1)</f>
        <v/>
      </c>
      <c r="E15" s="14">
        <f>CEILING(D15*(1+'Weapon Base Stats'!G5),1)</f>
        <v/>
      </c>
      <c r="F15" s="15">
        <f>CEILING(E15*(1+'Weapon Base Stats'!G5),1)</f>
        <v/>
      </c>
      <c r="G15" s="16">
        <f>CEILING(F15*(1+'Weapon Base Stats'!G5),1)</f>
        <v/>
      </c>
    </row>
    <row r="16" ht="15" customHeight="1">
      <c r="A16" s="46" t="n"/>
      <c r="B16" s="18" t="inlineStr">
        <is>
          <t>Fire Rate</t>
        </is>
      </c>
      <c r="C16" s="12">
        <f>'Weapon Base Stats'!D5</f>
        <v/>
      </c>
      <c r="D16" s="13">
        <f>ROUND(C16*(1+'Weapon Base Stats'!H5),2)</f>
        <v/>
      </c>
      <c r="E16" s="14">
        <f>ROUND(D16*(1+'Weapon Base Stats'!H5),2)</f>
        <v/>
      </c>
      <c r="F16" s="15">
        <f>ROUND(E16*(1+'Weapon Base Stats'!H5),2)</f>
        <v/>
      </c>
      <c r="G16" s="16">
        <f>ROUND(F16*(1+'Weapon Base Stats'!H5),2)</f>
        <v/>
      </c>
    </row>
    <row r="17" ht="15" customHeight="1">
      <c r="A17" s="46" t="n"/>
      <c r="B17" s="11" t="inlineStr">
        <is>
          <t>Projectiles</t>
        </is>
      </c>
      <c r="C17" s="12">
        <f>'Weapon Base Stats'!E5</f>
        <v/>
      </c>
      <c r="D17" s="13">
        <f>'Weapon Base Stats'!E5</f>
        <v/>
      </c>
      <c r="E17" s="14">
        <f>'Weapon Base Stats'!E5</f>
        <v/>
      </c>
      <c r="F17" s="15">
        <f>'Weapon Base Stats'!E5</f>
        <v/>
      </c>
      <c r="G17" s="16">
        <f>'Weapon Base Stats'!E5</f>
        <v/>
      </c>
    </row>
    <row r="18" ht="15" customHeight="1">
      <c r="A18" s="46" t="n"/>
      <c r="B18" s="18" t="inlineStr">
        <is>
          <t>AOE Radius</t>
        </is>
      </c>
      <c r="C18" s="12">
        <f>'Weapon Base Stats'!F5</f>
        <v/>
      </c>
      <c r="D18" s="13">
        <f>CEILING(C18*(1+0.2),1)</f>
        <v/>
      </c>
      <c r="E18" s="14">
        <f>CEILING(D18*(1+0.2),1)</f>
        <v/>
      </c>
      <c r="F18" s="15">
        <f>CEILING(E18*(1+0.2),1)</f>
        <v/>
      </c>
      <c r="G18" s="16">
        <f>CEILING(F18*(1+0.2),1)</f>
        <v/>
      </c>
    </row>
    <row r="19" ht="15" customHeight="1">
      <c r="A19" s="46" t="n"/>
      <c r="B19" s="11" t="inlineStr">
        <is>
          <t>DPS (dmg×rof×proj)</t>
        </is>
      </c>
      <c r="C19" s="12">
        <f>C15*C16*C17</f>
        <v/>
      </c>
      <c r="D19" s="13">
        <f>D15*D16*D17</f>
        <v/>
      </c>
      <c r="E19" s="14">
        <f>E15*E16*E17</f>
        <v/>
      </c>
      <c r="F19" s="15">
        <f>F15*F16*F17</f>
        <v/>
      </c>
      <c r="G19" s="16">
        <f>G15*G16*G17</f>
        <v/>
      </c>
    </row>
    <row r="20" ht="15" customHeight="1">
      <c r="A20" s="19" t="n"/>
      <c r="B20" s="19" t="n"/>
      <c r="C20" s="19" t="n"/>
      <c r="D20" s="19" t="n"/>
      <c r="E20" s="19" t="n"/>
      <c r="F20" s="19" t="n"/>
      <c r="G20" s="19" t="n"/>
    </row>
    <row r="21" ht="15" customHeight="1">
      <c r="A21" s="10" t="inlineStr">
        <is>
          <t>Laser</t>
        </is>
      </c>
      <c r="B21" s="11" t="inlineStr">
        <is>
          <t>Damage</t>
        </is>
      </c>
      <c r="C21" s="12">
        <f>'Weapon Base Stats'!C6</f>
        <v/>
      </c>
      <c r="D21" s="13">
        <f>CEILING(C21*(1+'Weapon Base Stats'!G6),1)</f>
        <v/>
      </c>
      <c r="E21" s="14">
        <f>CEILING(D21*(1+'Weapon Base Stats'!G6),1)</f>
        <v/>
      </c>
      <c r="F21" s="15">
        <f>CEILING(E21*(1+'Weapon Base Stats'!G6),1)</f>
        <v/>
      </c>
      <c r="G21" s="16">
        <f>CEILING(F21*(1+'Weapon Base Stats'!G6),1)</f>
        <v/>
      </c>
    </row>
    <row r="22" ht="15" customHeight="1">
      <c r="A22" s="46" t="n"/>
      <c r="B22" s="18" t="inlineStr">
        <is>
          <t>Fire Rate</t>
        </is>
      </c>
      <c r="C22" s="12">
        <f>'Weapon Base Stats'!D6</f>
        <v/>
      </c>
      <c r="D22" s="13">
        <f>ROUND(C22*(1+'Weapon Base Stats'!H6),2)</f>
        <v/>
      </c>
      <c r="E22" s="14">
        <f>ROUND(D22*(1+'Weapon Base Stats'!H6),2)</f>
        <v/>
      </c>
      <c r="F22" s="15">
        <f>ROUND(E22*(1+'Weapon Base Stats'!H6),2)</f>
        <v/>
      </c>
      <c r="G22" s="16">
        <f>ROUND(F22*(1+'Weapon Base Stats'!H6),2)</f>
        <v/>
      </c>
    </row>
    <row r="23" ht="15" customHeight="1">
      <c r="A23" s="46" t="n"/>
      <c r="B23" s="11" t="inlineStr">
        <is>
          <t>Projectiles</t>
        </is>
      </c>
      <c r="C23" s="12">
        <f>'Weapon Base Stats'!E6</f>
        <v/>
      </c>
      <c r="D23" s="13">
        <f>'Weapon Base Stats'!E6</f>
        <v/>
      </c>
      <c r="E23" s="14">
        <f>'Weapon Base Stats'!E6</f>
        <v/>
      </c>
      <c r="F23" s="15">
        <f>'Weapon Base Stats'!E6</f>
        <v/>
      </c>
      <c r="G23" s="16">
        <f>'Weapon Base Stats'!E6</f>
        <v/>
      </c>
    </row>
    <row r="24" ht="15" customHeight="1">
      <c r="A24" s="46" t="n"/>
      <c r="B24" s="18" t="inlineStr">
        <is>
          <t>AOE Radius</t>
        </is>
      </c>
      <c r="C24" s="12">
        <f>'Weapon Base Stats'!F6</f>
        <v/>
      </c>
      <c r="D24" s="13">
        <f>'Weapon Base Stats'!F6</f>
        <v/>
      </c>
      <c r="E24" s="14">
        <f>'Weapon Base Stats'!F6</f>
        <v/>
      </c>
      <c r="F24" s="15">
        <f>'Weapon Base Stats'!F6</f>
        <v/>
      </c>
      <c r="G24" s="16">
        <f>'Weapon Base Stats'!F6</f>
        <v/>
      </c>
    </row>
    <row r="25" ht="15" customHeight="1">
      <c r="A25" s="46" t="n"/>
      <c r="B25" s="11" t="inlineStr">
        <is>
          <t>DPS (dmg×rof×proj)</t>
        </is>
      </c>
      <c r="C25" s="12">
        <f>C21*C22*C23</f>
        <v/>
      </c>
      <c r="D25" s="13">
        <f>D21*D22*D23</f>
        <v/>
      </c>
      <c r="E25" s="14">
        <f>E21*E22*E23</f>
        <v/>
      </c>
      <c r="F25" s="15">
        <f>F21*F22*F23</f>
        <v/>
      </c>
      <c r="G25" s="16">
        <f>G21*G22*G23</f>
        <v/>
      </c>
    </row>
    <row r="26" ht="15" customHeight="1">
      <c r="A26" s="19" t="n"/>
      <c r="B26" s="19" t="n"/>
      <c r="C26" s="19" t="n"/>
      <c r="D26" s="19" t="n"/>
      <c r="E26" s="19" t="n"/>
      <c r="F26" s="19" t="n"/>
      <c r="G26" s="19" t="n"/>
    </row>
    <row r="27" ht="15" customHeight="1">
      <c r="A27" s="10" t="inlineStr">
        <is>
          <t>Homing Missile</t>
        </is>
      </c>
      <c r="B27" s="11" t="inlineStr">
        <is>
          <t>Damage</t>
        </is>
      </c>
      <c r="C27" s="12">
        <f>'Weapon Base Stats'!C7</f>
        <v/>
      </c>
      <c r="D27" s="13">
        <f>CEILING(C27*(1+'Weapon Base Stats'!G7),1)</f>
        <v/>
      </c>
      <c r="E27" s="14">
        <f>CEILING(D27*(1+'Weapon Base Stats'!G7),1)</f>
        <v/>
      </c>
      <c r="F27" s="15">
        <f>CEILING(E27*(1+'Weapon Base Stats'!G7),1)</f>
        <v/>
      </c>
      <c r="G27" s="16">
        <f>CEILING(F27*(1+'Weapon Base Stats'!G7),1)</f>
        <v/>
      </c>
    </row>
    <row r="28" ht="15" customHeight="1">
      <c r="A28" s="46" t="n"/>
      <c r="B28" s="18" t="inlineStr">
        <is>
          <t>Fire Rate</t>
        </is>
      </c>
      <c r="C28" s="12">
        <f>'Weapon Base Stats'!D7</f>
        <v/>
      </c>
      <c r="D28" s="13">
        <f>ROUND(C28*(1+'Weapon Base Stats'!H7),2)</f>
        <v/>
      </c>
      <c r="E28" s="14">
        <f>ROUND(D28*(1+'Weapon Base Stats'!H7),2)</f>
        <v/>
      </c>
      <c r="F28" s="15">
        <f>ROUND(E28*(1+'Weapon Base Stats'!H7),2)</f>
        <v/>
      </c>
      <c r="G28" s="16">
        <f>ROUND(F28*(1+'Weapon Base Stats'!H7),2)</f>
        <v/>
      </c>
    </row>
    <row r="29" ht="15" customHeight="1">
      <c r="A29" s="46" t="n"/>
      <c r="B29" s="11" t="inlineStr">
        <is>
          <t>Projectiles</t>
        </is>
      </c>
      <c r="C29" s="12">
        <f>'Weapon Base Stats'!E7</f>
        <v/>
      </c>
      <c r="D29" s="13">
        <f>CEILING(C29*(1+0.1),1)</f>
        <v/>
      </c>
      <c r="E29" s="14">
        <f>CEILING(D29*(1+0.1),1)</f>
        <v/>
      </c>
      <c r="F29" s="15">
        <f>CEILING(E29*(1+0.1),1)</f>
        <v/>
      </c>
      <c r="G29" s="16">
        <f>CEILING(F29*(1+0.1),1)</f>
        <v/>
      </c>
    </row>
    <row r="30" ht="15" customHeight="1">
      <c r="A30" s="46" t="n"/>
      <c r="B30" s="18" t="inlineStr">
        <is>
          <t>AOE Radius</t>
        </is>
      </c>
      <c r="C30" s="12">
        <f>'Weapon Base Stats'!F7</f>
        <v/>
      </c>
      <c r="D30" s="13">
        <f>CEILING(C30*(1+0.15),1)</f>
        <v/>
      </c>
      <c r="E30" s="14">
        <f>CEILING(D30*(1+0.15),1)</f>
        <v/>
      </c>
      <c r="F30" s="15">
        <f>CEILING(E30*(1+0.15),1)</f>
        <v/>
      </c>
      <c r="G30" s="16">
        <f>CEILING(F30*(1+0.15),1)</f>
        <v/>
      </c>
    </row>
    <row r="31" ht="15" customHeight="1">
      <c r="A31" s="46" t="n"/>
      <c r="B31" s="11" t="inlineStr">
        <is>
          <t>DPS (dmg×rof×proj)</t>
        </is>
      </c>
      <c r="C31" s="12">
        <f>C27*C28*C29</f>
        <v/>
      </c>
      <c r="D31" s="13">
        <f>D27*D28*D29</f>
        <v/>
      </c>
      <c r="E31" s="14">
        <f>E27*E28*E29</f>
        <v/>
      </c>
      <c r="F31" s="15">
        <f>F27*F28*F29</f>
        <v/>
      </c>
      <c r="G31" s="16">
        <f>G27*G28*G29</f>
        <v/>
      </c>
    </row>
    <row r="32" ht="15" customHeight="1">
      <c r="A32" s="19" t="n"/>
      <c r="B32" s="19" t="n"/>
      <c r="C32" s="19" t="n"/>
      <c r="D32" s="19" t="n"/>
      <c r="E32" s="19" t="n"/>
      <c r="F32" s="19" t="n"/>
      <c r="G32" s="19" t="n"/>
    </row>
  </sheetData>
  <mergeCells count="6">
    <mergeCell ref="A21:A25"/>
    <mergeCell ref="A1:M1"/>
    <mergeCell ref="A15:A19"/>
    <mergeCell ref="A9:A13"/>
    <mergeCell ref="A27:A31"/>
    <mergeCell ref="A3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8.6796875" defaultRowHeight="15" zeroHeight="0" outlineLevelRow="0"/>
  <cols>
    <col width="18" customWidth="1" min="1" max="1"/>
    <col width="8" customWidth="1" min="2" max="2"/>
    <col width="12" customWidth="1" min="3" max="3"/>
    <col width="14" customWidth="1" min="4" max="4"/>
    <col width="12" customWidth="1" min="9" max="9"/>
  </cols>
  <sheetData>
    <row r="1" ht="27.75" customHeight="1">
      <c r="A1" s="8" t="inlineStr">
        <is>
          <t>🃏  CARD &amp; UPGRADE SIMULATOR  —  adjust yellow cells to see final stats</t>
        </is>
      </c>
    </row>
    <row r="2" ht="18" customHeight="1">
      <c r="A2" s="20" t="inlineStr">
        <is>
          <t>Yellow = inputs you can change.  Tier pulls from Tier Progression sheet.  Final DPS = (BaseDMG + FlatBonus) × DMGMult × FireRate × RoFMult × (BaseProj + ExtraProj)</t>
        </is>
      </c>
    </row>
    <row r="3" ht="36" customHeight="1">
      <c r="A3" s="21" t="inlineStr">
        <is>
          <t>Weapon</t>
        </is>
      </c>
      <c r="B3" s="21" t="inlineStr">
        <is>
          <t>Tier
(1–5)</t>
        </is>
      </c>
      <c r="C3" s="21" t="inlineStr">
        <is>
          <t>Base
Damage</t>
        </is>
      </c>
      <c r="D3" s="21" t="inlineStr">
        <is>
          <t>Base
Fire Rate</t>
        </is>
      </c>
      <c r="E3" s="21" t="inlineStr">
        <is>
          <t>Base
Projectiles</t>
        </is>
      </c>
      <c r="F3" s="21" t="inlineStr">
        <is>
          <t>+Flat DMG
(card)</t>
        </is>
      </c>
      <c r="G3" s="21" t="inlineStr">
        <is>
          <t>×DMG Mult
(card)</t>
        </is>
      </c>
      <c r="H3" s="21" t="inlineStr">
        <is>
          <t>×RoF Mult
(card)</t>
        </is>
      </c>
      <c r="I3" s="21" t="inlineStr">
        <is>
          <t>+Proj
(card)</t>
        </is>
      </c>
      <c r="J3" s="21" t="inlineStr">
        <is>
          <t>Final DPS</t>
        </is>
      </c>
    </row>
    <row r="4" ht="18" customHeight="1">
      <c r="A4" s="11" t="inlineStr">
        <is>
          <t>Machine Gun</t>
        </is>
      </c>
      <c r="B4" s="22" t="n">
        <v>1</v>
      </c>
      <c r="C4" s="23">
        <f>INDEX('Tier Progression'!C3:G3,1,B4)</f>
        <v/>
      </c>
      <c r="D4" s="24">
        <f>INDEX('Tier Progression'!C4:G4,1,B4)</f>
        <v/>
      </c>
      <c r="E4" s="25">
        <f>INDEX('Tier Progression'!C5:G5,1,B4)</f>
        <v/>
      </c>
      <c r="F4" s="26" t="n">
        <v>0</v>
      </c>
      <c r="G4" s="27" t="n">
        <v>1</v>
      </c>
      <c r="H4" s="27" t="n">
        <v>1</v>
      </c>
      <c r="I4" s="22" t="n">
        <v>0</v>
      </c>
      <c r="J4" s="28">
        <f>(C4+F4)*G4*D4*H4*(E4+I4)</f>
        <v/>
      </c>
    </row>
    <row r="5" ht="15" customHeight="1">
      <c r="A5" s="18" t="inlineStr">
        <is>
          <t>Shotgun</t>
        </is>
      </c>
      <c r="B5" s="22" t="n">
        <v>1</v>
      </c>
      <c r="C5" s="29">
        <f>INDEX('Tier Progression'!C9:G9,1,B5)</f>
        <v/>
      </c>
      <c r="D5" s="30">
        <f>INDEX('Tier Progression'!C10:G10,1,B5)</f>
        <v/>
      </c>
      <c r="E5" s="31">
        <f>INDEX('Tier Progression'!C11:G11,1,B5)</f>
        <v/>
      </c>
      <c r="F5" s="26" t="n">
        <v>0</v>
      </c>
      <c r="G5" s="27" t="n">
        <v>1</v>
      </c>
      <c r="H5" s="27" t="n">
        <v>1</v>
      </c>
      <c r="I5" s="22" t="n">
        <v>0</v>
      </c>
      <c r="J5" s="28">
        <f>(C5+F5)*G5*D5*H5*(E5+I5)</f>
        <v/>
      </c>
    </row>
    <row r="6" ht="15" customHeight="1">
      <c r="A6" s="11" t="inlineStr">
        <is>
          <t>Plasma Cannon</t>
        </is>
      </c>
      <c r="B6" s="22" t="n">
        <v>1</v>
      </c>
      <c r="C6" s="23">
        <f>INDEX('Tier Progression'!C15:G15,1,B6)</f>
        <v/>
      </c>
      <c r="D6" s="24">
        <f>INDEX('Tier Progression'!C16:G16,1,B6)</f>
        <v/>
      </c>
      <c r="E6" s="25">
        <f>INDEX('Tier Progression'!C17:G17,1,B6)</f>
        <v/>
      </c>
      <c r="F6" s="26" t="n">
        <v>0</v>
      </c>
      <c r="G6" s="27" t="n">
        <v>1</v>
      </c>
      <c r="H6" s="27" t="n">
        <v>1</v>
      </c>
      <c r="I6" s="22" t="n">
        <v>0</v>
      </c>
      <c r="J6" s="28">
        <f>(C6+F6)*G6*D6*H6*(E6+I6)</f>
        <v/>
      </c>
    </row>
    <row r="7" ht="15" customHeight="1">
      <c r="A7" s="18" t="inlineStr">
        <is>
          <t>Laser</t>
        </is>
      </c>
      <c r="B7" s="22" t="n">
        <v>1</v>
      </c>
      <c r="C7" s="29">
        <f>INDEX('Tier Progression'!C21:G21,1,B7)</f>
        <v/>
      </c>
      <c r="D7" s="30">
        <f>INDEX('Tier Progression'!C22:G22,1,B7)</f>
        <v/>
      </c>
      <c r="E7" s="31">
        <f>INDEX('Tier Progression'!C23:G23,1,B7)</f>
        <v/>
      </c>
      <c r="F7" s="26" t="n">
        <v>0</v>
      </c>
      <c r="G7" s="27" t="n">
        <v>1</v>
      </c>
      <c r="H7" s="27" t="n">
        <v>1</v>
      </c>
      <c r="I7" s="22" t="n">
        <v>0</v>
      </c>
      <c r="J7" s="28">
        <f>(C7+F7)*G7*D7*H7*(E7+I7)</f>
        <v/>
      </c>
    </row>
    <row r="8" ht="15" customHeight="1">
      <c r="A8" s="11" t="inlineStr">
        <is>
          <t>Homing Missile</t>
        </is>
      </c>
      <c r="B8" s="22" t="n">
        <v>1</v>
      </c>
      <c r="C8" s="23">
        <f>INDEX('Tier Progression'!C27:G27,1,B8)</f>
        <v/>
      </c>
      <c r="D8" s="24">
        <f>INDEX('Tier Progression'!C28:G28,1,B8)</f>
        <v/>
      </c>
      <c r="E8" s="25">
        <f>INDEX('Tier Progression'!C29:G29,1,B8)</f>
        <v/>
      </c>
      <c r="F8" s="26" t="n">
        <v>0</v>
      </c>
      <c r="G8" s="27" t="n">
        <v>1</v>
      </c>
      <c r="H8" s="27" t="n">
        <v>1</v>
      </c>
      <c r="I8" s="22" t="n">
        <v>0</v>
      </c>
      <c r="J8" s="28">
        <f>(C8+F8)*G8*D8*H8*(E8+I8)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1" customWidth="1" min="4" max="4"/>
    <col width="7" customWidth="1" min="5" max="5"/>
    <col width="28" customWidth="1" min="6" max="6"/>
    <col width="18" customWidth="1" min="7" max="7"/>
    <col width="7" customWidth="1" min="8" max="8"/>
    <col width="14" customWidth="1" min="9" max="9"/>
    <col width="18" customWidth="1" min="10" max="10"/>
    <col width="16" customWidth="1" min="11" max="11"/>
    <col width="10" customWidth="1" min="12" max="12"/>
    <col width="13" customWidth="1" min="13" max="13"/>
    <col width="25" customWidth="1" min="14" max="14"/>
  </cols>
  <sheetData>
    <row r="1" ht="26" customHeight="1">
      <c r="A1" s="32" t="inlineStr">
        <is>
          <t>PILOT DATABASE  —  Green rows = ready to import. One pilot per row. Do not rename columns.</t>
        </is>
      </c>
    </row>
    <row r="2" ht="48" customHeight="1">
      <c r="A2" s="2" t="inlineStr">
        <is>
          <t>Pilot ID
(no spaces,
snake_case)</t>
        </is>
      </c>
      <c r="B2" s="2" t="inlineStr">
        <is>
          <t>Display Name</t>
        </is>
      </c>
      <c r="C2" s="2" t="inlineStr">
        <is>
          <t>Type
global / weapon_type /
conditional</t>
        </is>
      </c>
      <c r="D2" s="2" t="inlineStr">
        <is>
          <t>Rarity
common/rare/
epic/legendary</t>
        </is>
      </c>
      <c r="E2" s="2" t="inlineStr">
        <is>
          <t>Cost
(credits)</t>
        </is>
      </c>
      <c r="F2" s="2" t="inlineStr">
        <is>
          <t>Description
(card text)</t>
        </is>
      </c>
      <c r="G2" s="2" t="inlineStr">
        <is>
          <t>Effect Key
(code identifier)</t>
        </is>
      </c>
      <c r="H2" s="2" t="inlineStr">
        <is>
          <t>Value
(numeric)</t>
        </is>
      </c>
      <c r="I2" s="2" t="inlineStr">
        <is>
          <t>Weapon Category
(weapon_type only)</t>
        </is>
      </c>
      <c r="J2" s="2" t="inlineStr">
        <is>
          <t>Synergies</t>
        </is>
      </c>
      <c r="K2" s="2" t="inlineStr">
        <is>
          <t>Anti-Synergies</t>
        </is>
      </c>
      <c r="L2" s="2" t="inlineStr">
        <is>
          <t>Power Level
(1–10)</t>
        </is>
      </c>
      <c r="M2" s="2" t="inlineStr">
        <is>
          <t>Status
idea/designed/
implemented</t>
        </is>
      </c>
      <c r="N2" s="2" t="inlineStr">
        <is>
          <t>Design Notes</t>
        </is>
      </c>
    </row>
    <row r="3" ht="20" customHeight="1">
      <c r="A3" s="3" t="inlineStr">
        <is>
          <t>e.g. power_surge</t>
        </is>
      </c>
      <c r="B3" s="3" t="inlineStr">
        <is>
          <t>Shown on pilot card</t>
        </is>
      </c>
      <c r="C3" s="3" t="inlineStr">
        <is>
          <t>Determines when effect fires</t>
        </is>
      </c>
      <c r="D3" s="3" t="inlineStr">
        <is>
          <t>Affects pool probability</t>
        </is>
      </c>
      <c r="E3" s="3" t="inlineStr">
        <is>
          <t>Integer, e.g. 20–80</t>
        </is>
      </c>
      <c r="F3" s="3" t="inlineStr">
        <is>
          <t>Keep under 50 chars</t>
        </is>
      </c>
      <c r="G3" s="3" t="inlineStr">
        <is>
          <t>e.g. damage_flat_pct</t>
        </is>
      </c>
      <c r="H3" s="3" t="inlineStr">
        <is>
          <t>e.g. 0.20 for 20%</t>
        </is>
      </c>
      <c r="I3" s="3" t="inlineStr">
        <is>
          <t>ballistic/energy/missile or blank</t>
        </is>
      </c>
      <c r="J3" s="3" t="inlineStr">
        <is>
          <t>Other pilot names (notes only)</t>
        </is>
      </c>
      <c r="K3" s="3" t="inlineStr">
        <is>
          <t>Notes only</t>
        </is>
      </c>
      <c r="L3" s="3" t="inlineStr">
        <is>
          <t>1=weak, 10=broken</t>
        </is>
      </c>
      <c r="M3" s="3" t="n"/>
      <c r="N3" s="3" t="n"/>
    </row>
    <row r="4">
      <c r="A4" s="33" t="inlineStr">
        <is>
          <t>power_surge</t>
        </is>
      </c>
      <c r="B4" s="33" t="inlineStr">
        <is>
          <t>Power Surge</t>
        </is>
      </c>
      <c r="C4" s="33" t="inlineStr">
        <is>
          <t>global</t>
        </is>
      </c>
      <c r="D4" s="33" t="inlineStr">
        <is>
          <t>common</t>
        </is>
      </c>
      <c r="E4" s="33" t="n">
        <v>20</v>
      </c>
      <c r="F4" s="5" t="inlineStr">
        <is>
          <t>+20% all bullet damage</t>
        </is>
      </c>
      <c r="G4" s="33" t="inlineStr">
        <is>
          <t>damage_flat_pct</t>
        </is>
      </c>
      <c r="H4" s="33" t="n">
        <v>0.2</v>
      </c>
      <c r="I4" s="33" t="n"/>
      <c r="J4" s="33" t="inlineStr">
        <is>
          <t>Any build</t>
        </is>
      </c>
      <c r="K4" s="33" t="inlineStr">
        <is>
          <t>None</t>
        </is>
      </c>
      <c r="L4" s="33" t="n">
        <v>5</v>
      </c>
      <c r="M4" s="33" t="inlineStr">
        <is>
          <t>implemented</t>
        </is>
      </c>
      <c r="N4" s="5" t="inlineStr">
        <is>
          <t>Scales well late game</t>
        </is>
      </c>
    </row>
    <row r="5">
      <c r="A5" s="33" t="inlineStr">
        <is>
          <t>shield_tech</t>
        </is>
      </c>
      <c r="B5" s="33" t="inlineStr">
        <is>
          <t>Shield Tech</t>
        </is>
      </c>
      <c r="C5" s="33" t="inlineStr">
        <is>
          <t>global</t>
        </is>
      </c>
      <c r="D5" s="33" t="inlineStr">
        <is>
          <t>common</t>
        </is>
      </c>
      <c r="E5" s="33" t="n">
        <v>20</v>
      </c>
      <c r="F5" s="5" t="inlineStr">
        <is>
          <t>+25 Max Shield</t>
        </is>
      </c>
      <c r="G5" s="33" t="inlineStr">
        <is>
          <t>shield_boost</t>
        </is>
      </c>
      <c r="H5" s="33" t="n">
        <v>25</v>
      </c>
      <c r="I5" s="33" t="n"/>
      <c r="J5" s="33" t="inlineStr">
        <is>
          <t>Tanky builds</t>
        </is>
      </c>
      <c r="K5" s="33" t="inlineStr">
        <is>
          <t>None</t>
        </is>
      </c>
      <c r="L5" s="33" t="n">
        <v>3</v>
      </c>
      <c r="M5" s="33" t="inlineStr">
        <is>
          <t>implemented</t>
        </is>
      </c>
      <c r="N5" s="5" t="inlineStr">
        <is>
          <t>One-time stat on hire</t>
        </is>
      </c>
    </row>
    <row r="6">
      <c r="A6" s="33" t="inlineStr">
        <is>
          <t>ballistic_expert</t>
        </is>
      </c>
      <c r="B6" s="33" t="inlineStr">
        <is>
          <t>Ballistic Expert</t>
        </is>
      </c>
      <c r="C6" s="33" t="inlineStr">
        <is>
          <t>weapon_type</t>
        </is>
      </c>
      <c r="D6" s="33" t="inlineStr">
        <is>
          <t>rare</t>
        </is>
      </c>
      <c r="E6" s="33" t="n">
        <v>40</v>
      </c>
      <c r="F6" s="5" t="inlineStr">
        <is>
          <t>×1.5 Ballistic damage</t>
        </is>
      </c>
      <c r="G6" s="33" t="inlineStr">
        <is>
          <t>weapon_type_mult</t>
        </is>
      </c>
      <c r="H6" s="33" t="n">
        <v>1.5</v>
      </c>
      <c r="I6" s="33" t="inlineStr">
        <is>
          <t>ballistic</t>
        </is>
      </c>
      <c r="J6" s="33" t="inlineStr">
        <is>
          <t>Ballistic focus</t>
        </is>
      </c>
      <c r="K6" s="33" t="inlineStr">
        <is>
          <t>Energy/Missile</t>
        </is>
      </c>
      <c r="L6" s="33" t="n">
        <v>6</v>
      </c>
      <c r="M6" s="33" t="inlineStr">
        <is>
          <t>implemented</t>
        </is>
      </c>
      <c r="N6" s="5" t="n"/>
    </row>
    <row r="7">
      <c r="A7" s="33" t="inlineStr">
        <is>
          <t>energy_specialist</t>
        </is>
      </c>
      <c r="B7" s="33" t="inlineStr">
        <is>
          <t>Energy Specialist</t>
        </is>
      </c>
      <c r="C7" s="33" t="inlineStr">
        <is>
          <t>weapon_type</t>
        </is>
      </c>
      <c r="D7" s="33" t="inlineStr">
        <is>
          <t>rare</t>
        </is>
      </c>
      <c r="E7" s="33" t="n">
        <v>40</v>
      </c>
      <c r="F7" s="5" t="inlineStr">
        <is>
          <t>×1.5 Energy damage</t>
        </is>
      </c>
      <c r="G7" s="33" t="inlineStr">
        <is>
          <t>weapon_type_mult</t>
        </is>
      </c>
      <c r="H7" s="33" t="n">
        <v>1.5</v>
      </c>
      <c r="I7" s="33" t="inlineStr">
        <is>
          <t>energy</t>
        </is>
      </c>
      <c r="J7" s="33" t="inlineStr">
        <is>
          <t>Energy focus</t>
        </is>
      </c>
      <c r="K7" s="33" t="inlineStr">
        <is>
          <t>Ballistic/Missile</t>
        </is>
      </c>
      <c r="L7" s="33" t="n">
        <v>6</v>
      </c>
      <c r="M7" s="33" t="inlineStr">
        <is>
          <t>implemented</t>
        </is>
      </c>
      <c r="N7" s="5" t="n"/>
    </row>
    <row r="8">
      <c r="A8" s="33" t="inlineStr">
        <is>
          <t>ricochet_artist</t>
        </is>
      </c>
      <c r="B8" s="33" t="inlineStr">
        <is>
          <t>Ricochet Artist</t>
        </is>
      </c>
      <c r="C8" s="33" t="inlineStr">
        <is>
          <t>conditional</t>
        </is>
      </c>
      <c r="D8" s="33" t="inlineStr">
        <is>
          <t>epic</t>
        </is>
      </c>
      <c r="E8" s="33" t="n">
        <v>60</v>
      </c>
      <c r="F8" s="5" t="inlineStr">
        <is>
          <t>×2 damage on bounced shots</t>
        </is>
      </c>
      <c r="G8" s="33" t="inlineStr">
        <is>
          <t>bounce_mult</t>
        </is>
      </c>
      <c r="H8" s="33" t="n">
        <v>2</v>
      </c>
      <c r="I8" s="33" t="n"/>
      <c r="J8" s="33" t="inlineStr">
        <is>
          <t>Bounce builds</t>
        </is>
      </c>
      <c r="K8" s="33" t="inlineStr">
        <is>
          <t>None</t>
        </is>
      </c>
      <c r="L8" s="33" t="n">
        <v>8</v>
      </c>
      <c r="M8" s="33" t="inlineStr">
        <is>
          <t>implemented</t>
        </is>
      </c>
      <c r="N8" s="5" t="inlineStr">
        <is>
          <t>Core identity pilot</t>
        </is>
      </c>
    </row>
    <row r="9">
      <c r="A9" s="33" t="inlineStr">
        <is>
          <t>afterburner</t>
        </is>
      </c>
      <c r="B9" s="33" t="inlineStr">
        <is>
          <t>Afterburner</t>
        </is>
      </c>
      <c r="C9" s="33" t="inlineStr">
        <is>
          <t>global</t>
        </is>
      </c>
      <c r="D9" s="33" t="inlineStr">
        <is>
          <t>rare</t>
        </is>
      </c>
      <c r="E9" s="33" t="n">
        <v>40</v>
      </c>
      <c r="F9" s="5" t="inlineStr">
        <is>
          <t>+40 Move Speed</t>
        </is>
      </c>
      <c r="G9" s="33" t="inlineStr">
        <is>
          <t>speed_boost</t>
        </is>
      </c>
      <c r="H9" s="33" t="n">
        <v>40</v>
      </c>
      <c r="I9" s="33" t="n"/>
      <c r="J9" s="33" t="inlineStr">
        <is>
          <t>Mobile builds</t>
        </is>
      </c>
      <c r="K9" s="33" t="inlineStr">
        <is>
          <t>None</t>
        </is>
      </c>
      <c r="L9" s="33" t="n">
        <v>4</v>
      </c>
      <c r="M9" s="33" t="inlineStr">
        <is>
          <t>implemented</t>
        </is>
      </c>
      <c r="N9" s="5" t="inlineStr">
        <is>
          <t>One-time stat on hire</t>
        </is>
      </c>
    </row>
    <row r="10">
      <c r="A10" s="34" t="n"/>
      <c r="B10" s="34" t="n"/>
      <c r="C10" s="34" t="inlineStr">
        <is>
          <t>global</t>
        </is>
      </c>
      <c r="D10" s="34" t="inlineStr">
        <is>
          <t>common</t>
        </is>
      </c>
      <c r="E10" s="34" t="n">
        <v>20</v>
      </c>
      <c r="F10" s="7" t="n"/>
      <c r="G10" s="34" t="n"/>
      <c r="H10" s="34" t="n"/>
      <c r="I10" s="34" t="n"/>
      <c r="J10" s="34" t="n"/>
      <c r="K10" s="34" t="n"/>
      <c r="L10" s="34" t="n"/>
      <c r="M10" s="34" t="inlineStr">
        <is>
          <t>idea</t>
        </is>
      </c>
      <c r="N10" s="7" t="n"/>
    </row>
    <row r="11">
      <c r="A11" s="34" t="n"/>
      <c r="B11" s="34" t="n"/>
      <c r="C11" s="34" t="inlineStr">
        <is>
          <t>global</t>
        </is>
      </c>
      <c r="D11" s="34" t="inlineStr">
        <is>
          <t>common</t>
        </is>
      </c>
      <c r="E11" s="34" t="n">
        <v>20</v>
      </c>
      <c r="F11" s="7" t="n"/>
      <c r="G11" s="34" t="n"/>
      <c r="H11" s="34" t="n"/>
      <c r="I11" s="34" t="n"/>
      <c r="J11" s="34" t="n"/>
      <c r="K11" s="34" t="n"/>
      <c r="L11" s="34" t="n"/>
      <c r="M11" s="34" t="inlineStr">
        <is>
          <t>idea</t>
        </is>
      </c>
      <c r="N11" s="7" t="n"/>
    </row>
    <row r="12">
      <c r="A12" s="34" t="n"/>
      <c r="B12" s="34" t="n"/>
      <c r="C12" s="34" t="inlineStr">
        <is>
          <t>weapon_type</t>
        </is>
      </c>
      <c r="D12" s="34" t="inlineStr">
        <is>
          <t>rare</t>
        </is>
      </c>
      <c r="E12" s="34" t="n">
        <v>40</v>
      </c>
      <c r="F12" s="7" t="n"/>
      <c r="G12" s="34" t="n"/>
      <c r="H12" s="34" t="n"/>
      <c r="I12" s="34" t="inlineStr">
        <is>
          <t>ballistic</t>
        </is>
      </c>
      <c r="J12" s="34" t="n"/>
      <c r="K12" s="34" t="n"/>
      <c r="L12" s="34" t="n"/>
      <c r="M12" s="34" t="inlineStr">
        <is>
          <t>idea</t>
        </is>
      </c>
      <c r="N12" s="7" t="n"/>
    </row>
    <row r="13">
      <c r="A13" s="34" t="n"/>
      <c r="B13" s="34" t="n"/>
      <c r="C13" s="34" t="inlineStr">
        <is>
          <t>weapon_type</t>
        </is>
      </c>
      <c r="D13" s="34" t="inlineStr">
        <is>
          <t>rare</t>
        </is>
      </c>
      <c r="E13" s="34" t="n">
        <v>40</v>
      </c>
      <c r="F13" s="7" t="n"/>
      <c r="G13" s="34" t="n"/>
      <c r="H13" s="34" t="n"/>
      <c r="I13" s="34" t="inlineStr">
        <is>
          <t>energy</t>
        </is>
      </c>
      <c r="J13" s="34" t="n"/>
      <c r="K13" s="34" t="n"/>
      <c r="L13" s="34" t="n"/>
      <c r="M13" s="34" t="inlineStr">
        <is>
          <t>idea</t>
        </is>
      </c>
      <c r="N13" s="7" t="n"/>
    </row>
    <row r="14">
      <c r="A14" s="34" t="n"/>
      <c r="B14" s="34" t="n"/>
      <c r="C14" s="34" t="inlineStr">
        <is>
          <t>weapon_type</t>
        </is>
      </c>
      <c r="D14" s="34" t="inlineStr">
        <is>
          <t>rare</t>
        </is>
      </c>
      <c r="E14" s="34" t="n">
        <v>40</v>
      </c>
      <c r="F14" s="7" t="n"/>
      <c r="G14" s="34" t="n"/>
      <c r="H14" s="34" t="n"/>
      <c r="I14" s="34" t="inlineStr">
        <is>
          <t>missile</t>
        </is>
      </c>
      <c r="J14" s="34" t="n"/>
      <c r="K14" s="34" t="n"/>
      <c r="L14" s="34" t="n"/>
      <c r="M14" s="34" t="inlineStr">
        <is>
          <t>idea</t>
        </is>
      </c>
      <c r="N14" s="7" t="n"/>
    </row>
    <row r="15">
      <c r="A15" s="34" t="n"/>
      <c r="B15" s="34" t="n"/>
      <c r="C15" s="34" t="inlineStr">
        <is>
          <t>conditional</t>
        </is>
      </c>
      <c r="D15" s="34" t="inlineStr">
        <is>
          <t>epic</t>
        </is>
      </c>
      <c r="E15" s="34" t="n">
        <v>60</v>
      </c>
      <c r="F15" s="7" t="n"/>
      <c r="G15" s="34" t="n"/>
      <c r="H15" s="34" t="n"/>
      <c r="I15" s="34" t="n"/>
      <c r="J15" s="34" t="n"/>
      <c r="K15" s="34" t="n"/>
      <c r="L15" s="34" t="n"/>
      <c r="M15" s="34" t="inlineStr">
        <is>
          <t>idea</t>
        </is>
      </c>
      <c r="N15" s="7" t="n"/>
    </row>
    <row r="16">
      <c r="A16" s="34" t="n"/>
      <c r="B16" s="34" t="n"/>
      <c r="C16" s="34" t="inlineStr">
        <is>
          <t>conditional</t>
        </is>
      </c>
      <c r="D16" s="34" t="inlineStr">
        <is>
          <t>epic</t>
        </is>
      </c>
      <c r="E16" s="34" t="n">
        <v>60</v>
      </c>
      <c r="F16" s="7" t="n"/>
      <c r="G16" s="34" t="n"/>
      <c r="H16" s="34" t="n"/>
      <c r="I16" s="34" t="n"/>
      <c r="J16" s="34" t="n"/>
      <c r="K16" s="34" t="n"/>
      <c r="L16" s="34" t="n"/>
      <c r="M16" s="34" t="inlineStr">
        <is>
          <t>idea</t>
        </is>
      </c>
      <c r="N16" s="7" t="n"/>
    </row>
    <row r="17">
      <c r="A17" s="34" t="n"/>
      <c r="B17" s="34" t="n"/>
      <c r="C17" s="34" t="n"/>
      <c r="D17" s="34" t="inlineStr">
        <is>
          <t>legendary</t>
        </is>
      </c>
      <c r="E17" s="34" t="n">
        <v>80</v>
      </c>
      <c r="F17" s="7" t="n"/>
      <c r="G17" s="34" t="n"/>
      <c r="H17" s="34" t="n"/>
      <c r="I17" s="34" t="n"/>
      <c r="J17" s="34" t="n"/>
      <c r="K17" s="34" t="n"/>
      <c r="L17" s="34" t="n"/>
      <c r="M17" s="34" t="inlineStr">
        <is>
          <t>idea</t>
        </is>
      </c>
      <c r="N17" s="7" t="n"/>
    </row>
    <row r="18">
      <c r="A18" s="34" t="n"/>
      <c r="B18" s="34" t="n"/>
      <c r="C18" s="34" t="n"/>
      <c r="D18" s="34" t="n"/>
      <c r="E18" s="34" t="n"/>
      <c r="F18" s="7" t="n"/>
      <c r="G18" s="34" t="n"/>
      <c r="H18" s="34" t="n"/>
      <c r="I18" s="34" t="n"/>
      <c r="J18" s="34" t="n"/>
      <c r="K18" s="34" t="n"/>
      <c r="L18" s="34" t="n"/>
      <c r="M18" s="34" t="inlineStr">
        <is>
          <t>idea</t>
        </is>
      </c>
      <c r="N18" s="7" t="n"/>
    </row>
    <row r="19">
      <c r="A19" s="34" t="n"/>
      <c r="B19" s="34" t="n"/>
      <c r="C19" s="34" t="n"/>
      <c r="D19" s="34" t="n"/>
      <c r="E19" s="34" t="n"/>
      <c r="F19" s="7" t="n"/>
      <c r="G19" s="34" t="n"/>
      <c r="H19" s="34" t="n"/>
      <c r="I19" s="34" t="n"/>
      <c r="J19" s="34" t="n"/>
      <c r="K19" s="34" t="n"/>
      <c r="L19" s="34" t="n"/>
      <c r="M19" s="34" t="inlineStr">
        <is>
          <t>idea</t>
        </is>
      </c>
      <c r="N19" s="7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20" customWidth="1" min="1" max="1"/>
    <col width="35" customWidth="1" min="2" max="2"/>
    <col width="45" customWidth="1" min="3" max="3"/>
    <col width="15" customWidth="1" min="4" max="4"/>
    <col width="18" customWidth="1" min="5" max="5"/>
    <col width="12" customWidth="1" min="6" max="6"/>
    <col width="35" customWidth="1" min="7" max="7"/>
    <col width="8.710000000000001" customWidth="1" min="8" max="8"/>
  </cols>
  <sheetData>
    <row r="1">
      <c r="A1" s="35" t="inlineStr">
        <is>
          <t>Combo Name</t>
        </is>
      </c>
      <c r="B1" s="35" t="inlineStr">
        <is>
          <t>Cards Required</t>
        </is>
      </c>
      <c r="C1" s="35" t="inlineStr">
        <is>
          <t>Effect Description</t>
        </is>
      </c>
      <c r="D1" s="35" t="inlineStr">
        <is>
          <t>Power Level (1-10)</t>
        </is>
      </c>
      <c r="E1" s="35" t="inlineStr">
        <is>
          <t>Difficulty to Pull Off</t>
        </is>
      </c>
      <c r="F1" s="35" t="inlineStr">
        <is>
          <t>Status</t>
        </is>
      </c>
      <c r="G1" s="35" t="inlineStr">
        <is>
          <t>Notes</t>
        </is>
      </c>
    </row>
    <row r="2">
      <c r="A2" s="36" t="inlineStr">
        <is>
          <t>The Stat Stacker</t>
        </is>
      </c>
      <c r="B2" s="36" t="inlineStr">
        <is>
          <t>Sturdy Frame, Shield Boost, Double Down</t>
        </is>
      </c>
      <c r="C2" s="36" t="inlineStr">
        <is>
          <t>Each stat card gives +5% all stats. With 2 stat cards = +10% everything</t>
        </is>
      </c>
      <c r="D2" s="36" t="inlineStr">
        <is>
          <t>7</t>
        </is>
      </c>
      <c r="E2" s="36" t="inlineStr">
        <is>
          <t>Easy</t>
        </is>
      </c>
      <c r="F2" s="36" t="inlineStr">
        <is>
          <t>Concept</t>
        </is>
      </c>
      <c r="G2" s="36" t="inlineStr">
        <is>
          <t>Rewards taking stat cards</t>
        </is>
      </c>
    </row>
    <row r="3">
      <c r="A3" s="36" t="inlineStr">
        <is>
          <t>The Infinite Bouncer</t>
        </is>
      </c>
      <c r="B3" s="36" t="inlineStr">
        <is>
          <t>Ricochet x3, Bounce Master, Super Bounce</t>
        </is>
      </c>
      <c r="C3" s="36" t="inlineStr">
        <is>
          <t>Bullets bounce 4+ times, each bounce +25% damage, bounced bullets deal +50%</t>
        </is>
      </c>
      <c r="D3" s="36" t="inlineStr">
        <is>
          <t>9</t>
        </is>
      </c>
      <c r="E3" s="36" t="inlineStr">
        <is>
          <t>Medium</t>
        </is>
      </c>
      <c r="F3" s="36" t="inlineStr">
        <is>
          <t>Concept</t>
        </is>
      </c>
      <c r="G3" s="36" t="inlineStr">
        <is>
          <t>Insane in corridors</t>
        </is>
      </c>
    </row>
    <row r="4">
      <c r="A4" s="36" t="inlineStr">
        <is>
          <t>Glass Cannon Assassin</t>
        </is>
      </c>
      <c r="B4" s="36" t="inlineStr">
        <is>
          <t>Minimalist, The Immortal, Last Stand</t>
        </is>
      </c>
      <c r="C4" s="36" t="inlineStr">
        <is>
          <t>At 10% HP with 3 cards = +650% damage</t>
        </is>
      </c>
      <c r="D4" s="36" t="inlineStr">
        <is>
          <t>10</t>
        </is>
      </c>
      <c r="E4" s="36" t="inlineStr">
        <is>
          <t>Hard</t>
        </is>
      </c>
      <c r="F4" s="36" t="inlineStr">
        <is>
          <t>Concept</t>
        </is>
      </c>
      <c r="G4" s="36" t="inlineStr">
        <is>
          <t>Requires perfect dodging</t>
        </is>
      </c>
    </row>
    <row r="5">
      <c r="A5" s="36" t="n"/>
      <c r="B5" s="36" t="n"/>
      <c r="C5" s="36" t="n"/>
      <c r="D5" s="36" t="n"/>
      <c r="E5" s="36" t="n"/>
      <c r="F5" s="36" t="n"/>
      <c r="G5" s="36" t="n"/>
    </row>
    <row r="6">
      <c r="A6" s="36" t="n"/>
      <c r="B6" s="36" t="n"/>
      <c r="C6" s="36" t="n"/>
      <c r="D6" s="36" t="n"/>
      <c r="E6" s="36" t="n"/>
      <c r="F6" s="36" t="n"/>
      <c r="G6" s="36" t="n"/>
    </row>
    <row r="7">
      <c r="A7" s="36" t="n"/>
      <c r="B7" s="36" t="n"/>
      <c r="C7" s="36" t="n"/>
      <c r="D7" s="36" t="n"/>
      <c r="E7" s="36" t="n"/>
      <c r="F7" s="36" t="n"/>
      <c r="G7" s="36" t="n"/>
    </row>
    <row r="8">
      <c r="A8" s="36" t="n"/>
      <c r="B8" s="36" t="n"/>
      <c r="C8" s="36" t="n"/>
      <c r="D8" s="36" t="n"/>
      <c r="E8" s="36" t="n"/>
      <c r="F8" s="36" t="n"/>
      <c r="G8" s="36" t="n"/>
    </row>
    <row r="9">
      <c r="A9" s="36" t="n"/>
      <c r="B9" s="36" t="n"/>
      <c r="C9" s="36" t="n"/>
      <c r="D9" s="36" t="n"/>
      <c r="E9" s="36" t="n"/>
      <c r="F9" s="36" t="n"/>
      <c r="G9" s="36" t="n"/>
    </row>
    <row r="10">
      <c r="A10" s="36" t="n"/>
      <c r="B10" s="36" t="n"/>
      <c r="C10" s="36" t="n"/>
      <c r="D10" s="36" t="n"/>
      <c r="E10" s="36" t="n"/>
      <c r="F10" s="36" t="n"/>
      <c r="G10" s="36" t="n"/>
    </row>
    <row r="11">
      <c r="A11" s="36" t="n"/>
      <c r="B11" s="36" t="n"/>
      <c r="C11" s="36" t="n"/>
      <c r="D11" s="36" t="n"/>
      <c r="E11" s="36" t="n"/>
      <c r="F11" s="36" t="n"/>
      <c r="G11" s="36" t="n"/>
    </row>
    <row r="12">
      <c r="A12" s="36" t="n"/>
      <c r="B12" s="36" t="n"/>
      <c r="C12" s="36" t="n"/>
      <c r="D12" s="36" t="n"/>
      <c r="E12" s="36" t="n"/>
      <c r="F12" s="36" t="n"/>
      <c r="G12" s="36" t="n"/>
    </row>
    <row r="13">
      <c r="A13" s="36" t="n"/>
      <c r="B13" s="36" t="n"/>
      <c r="C13" s="36" t="n"/>
      <c r="D13" s="36" t="n"/>
      <c r="E13" s="36" t="n"/>
      <c r="F13" s="36" t="n"/>
      <c r="G13" s="36" t="n"/>
    </row>
    <row r="14">
      <c r="A14" s="36" t="n"/>
      <c r="B14" s="36" t="n"/>
      <c r="C14" s="36" t="n"/>
      <c r="D14" s="36" t="n"/>
      <c r="E14" s="36" t="n"/>
      <c r="F14" s="36" t="n"/>
      <c r="G14" s="36" t="n"/>
    </row>
    <row r="15">
      <c r="A15" s="36" t="n"/>
      <c r="B15" s="36" t="n"/>
      <c r="C15" s="36" t="n"/>
      <c r="D15" s="36" t="n"/>
      <c r="E15" s="36" t="n"/>
      <c r="F15" s="36" t="n"/>
      <c r="G15" s="36" t="n"/>
    </row>
    <row r="16">
      <c r="A16" s="36" t="n"/>
      <c r="B16" s="36" t="n"/>
      <c r="C16" s="36" t="n"/>
      <c r="D16" s="36" t="n"/>
      <c r="E16" s="36" t="n"/>
      <c r="F16" s="36" t="n"/>
      <c r="G16" s="36" t="n"/>
    </row>
    <row r="17">
      <c r="A17" s="36" t="n"/>
      <c r="B17" s="36" t="n"/>
      <c r="C17" s="36" t="n"/>
      <c r="D17" s="36" t="n"/>
      <c r="E17" s="36" t="n"/>
      <c r="F17" s="36" t="n"/>
      <c r="G17" s="36" t="n"/>
    </row>
    <row r="18">
      <c r="A18" s="36" t="n"/>
      <c r="B18" s="36" t="n"/>
      <c r="C18" s="36" t="n"/>
      <c r="D18" s="36" t="n"/>
      <c r="E18" s="36" t="n"/>
      <c r="F18" s="36" t="n"/>
      <c r="G18" s="36" t="n"/>
    </row>
    <row r="19">
      <c r="A19" s="36" t="n"/>
      <c r="B19" s="36" t="n"/>
      <c r="C19" s="36" t="n"/>
      <c r="D19" s="36" t="n"/>
      <c r="E19" s="36" t="n"/>
      <c r="F19" s="36" t="n"/>
      <c r="G19" s="36" t="n"/>
    </row>
    <row r="20">
      <c r="A20" s="36" t="n"/>
      <c r="B20" s="36" t="n"/>
      <c r="C20" s="36" t="n"/>
      <c r="D20" s="36" t="n"/>
      <c r="E20" s="36" t="n"/>
      <c r="F20" s="36" t="n"/>
      <c r="G20" s="36" t="n"/>
    </row>
    <row r="21" ht="15.75" customHeight="1">
      <c r="A21" s="36" t="n"/>
      <c r="B21" s="36" t="n"/>
      <c r="C21" s="36" t="n"/>
      <c r="D21" s="36" t="n"/>
      <c r="E21" s="36" t="n"/>
      <c r="F21" s="36" t="n"/>
      <c r="G21" s="36" t="n"/>
    </row>
    <row r="22" ht="15.75" customHeight="1">
      <c r="A22" s="36" t="n"/>
      <c r="B22" s="36" t="n"/>
      <c r="C22" s="36" t="n"/>
      <c r="D22" s="36" t="n"/>
      <c r="E22" s="36" t="n"/>
      <c r="F22" s="36" t="n"/>
      <c r="G22" s="36" t="n"/>
    </row>
    <row r="23" ht="15.75" customHeight="1">
      <c r="A23" s="36" t="n"/>
      <c r="B23" s="36" t="n"/>
      <c r="C23" s="36" t="n"/>
      <c r="D23" s="36" t="n"/>
      <c r="E23" s="36" t="n"/>
      <c r="F23" s="36" t="n"/>
      <c r="G23" s="36" t="n"/>
    </row>
    <row r="24" ht="15.75" customHeight="1">
      <c r="A24" s="36" t="n"/>
      <c r="B24" s="36" t="n"/>
      <c r="C24" s="36" t="n"/>
      <c r="D24" s="36" t="n"/>
      <c r="E24" s="36" t="n"/>
      <c r="F24" s="36" t="n"/>
      <c r="G24" s="36" t="n"/>
    </row>
    <row r="25" ht="15.75" customHeight="1">
      <c r="A25" s="36" t="n"/>
      <c r="B25" s="36" t="n"/>
      <c r="C25" s="36" t="n"/>
      <c r="D25" s="36" t="n"/>
      <c r="E25" s="36" t="n"/>
      <c r="F25" s="36" t="n"/>
      <c r="G25" s="36" t="n"/>
    </row>
    <row r="26" ht="15.75" customHeight="1">
      <c r="A26" s="36" t="n"/>
      <c r="B26" s="36" t="n"/>
      <c r="C26" s="36" t="n"/>
      <c r="D26" s="36" t="n"/>
      <c r="E26" s="36" t="n"/>
      <c r="F26" s="36" t="n"/>
      <c r="G26" s="36" t="n"/>
    </row>
    <row r="27" ht="15.75" customHeight="1">
      <c r="A27" s="36" t="n"/>
      <c r="B27" s="36" t="n"/>
      <c r="C27" s="36" t="n"/>
      <c r="D27" s="36" t="n"/>
      <c r="E27" s="36" t="n"/>
      <c r="F27" s="36" t="n"/>
      <c r="G27" s="36" t="n"/>
    </row>
    <row r="28" ht="15.75" customHeight="1">
      <c r="A28" s="36" t="n"/>
      <c r="B28" s="36" t="n"/>
      <c r="C28" s="36" t="n"/>
      <c r="D28" s="36" t="n"/>
      <c r="E28" s="36" t="n"/>
      <c r="F28" s="36" t="n"/>
      <c r="G28" s="36" t="n"/>
    </row>
    <row r="29" ht="15.75" customHeight="1">
      <c r="A29" s="36" t="n"/>
      <c r="B29" s="36" t="n"/>
      <c r="C29" s="36" t="n"/>
      <c r="D29" s="36" t="n"/>
      <c r="E29" s="36" t="n"/>
      <c r="F29" s="36" t="n"/>
      <c r="G29" s="36" t="n"/>
    </row>
    <row r="30" ht="15.75" customHeight="1">
      <c r="A30" s="36" t="n"/>
      <c r="B30" s="36" t="n"/>
      <c r="C30" s="36" t="n"/>
      <c r="D30" s="36" t="n"/>
      <c r="E30" s="36" t="n"/>
      <c r="F30" s="36" t="n"/>
      <c r="G30" s="36" t="n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15" customWidth="1" min="1" max="1"/>
    <col width="12" customWidth="1" min="2" max="2"/>
    <col width="15" customWidth="1" min="3" max="3"/>
    <col width="8.710000000000001" customWidth="1" min="6" max="6"/>
  </cols>
  <sheetData>
    <row r="1">
      <c r="A1" s="35" t="inlineStr">
        <is>
          <t>Rarity</t>
        </is>
      </c>
      <c r="B1" s="35" t="inlineStr">
        <is>
          <t>Target %</t>
        </is>
      </c>
      <c r="C1" s="35" t="inlineStr">
        <is>
          <t>Target Count</t>
        </is>
      </c>
      <c r="D1" s="35" t="inlineStr">
        <is>
          <t>Current Count</t>
        </is>
      </c>
      <c r="E1" s="35" t="inlineStr">
        <is>
          <t>Status</t>
        </is>
      </c>
    </row>
    <row r="2">
      <c r="A2" s="36" t="inlineStr">
        <is>
          <t>Common</t>
        </is>
      </c>
      <c r="B2" s="36" t="inlineStr">
        <is>
          <t>70%</t>
        </is>
      </c>
      <c r="C2" s="36" t="inlineStr">
        <is>
          <t>21-28</t>
        </is>
      </c>
      <c r="D2" s="36" t="inlineStr">
        <is>
          <t>4</t>
        </is>
      </c>
      <c r="E2" s="36" t="inlineStr">
        <is>
          <t>Need more</t>
        </is>
      </c>
    </row>
    <row r="3">
      <c r="A3" s="36" t="inlineStr">
        <is>
          <t>Rare</t>
        </is>
      </c>
      <c r="B3" s="36" t="inlineStr">
        <is>
          <t>25%</t>
        </is>
      </c>
      <c r="C3" s="36" t="inlineStr">
        <is>
          <t>8-10</t>
        </is>
      </c>
      <c r="D3" s="36" t="inlineStr">
        <is>
          <t>2</t>
        </is>
      </c>
      <c r="E3" s="36" t="inlineStr">
        <is>
          <t>Need more</t>
        </is>
      </c>
    </row>
    <row r="4">
      <c r="A4" s="36" t="inlineStr">
        <is>
          <t>Epic</t>
        </is>
      </c>
      <c r="B4" s="36" t="inlineStr">
        <is>
          <t>4.5%</t>
        </is>
      </c>
      <c r="C4" s="36" t="inlineStr">
        <is>
          <t>3-5</t>
        </is>
      </c>
      <c r="D4" s="36" t="inlineStr">
        <is>
          <t>0</t>
        </is>
      </c>
      <c r="E4" s="36" t="inlineStr">
        <is>
          <t>Need to design</t>
        </is>
      </c>
    </row>
    <row r="5">
      <c r="A5" s="36" t="inlineStr">
        <is>
          <t>Legendary</t>
        </is>
      </c>
      <c r="B5" s="36" t="inlineStr">
        <is>
          <t>0.5%</t>
        </is>
      </c>
      <c r="C5" s="36" t="inlineStr">
        <is>
          <t>1-2</t>
        </is>
      </c>
      <c r="D5" s="36" t="inlineStr">
        <is>
          <t>0</t>
        </is>
      </c>
      <c r="E5" s="36" t="inlineStr">
        <is>
          <t>Need to design</t>
        </is>
      </c>
    </row>
    <row r="6">
      <c r="A6" s="36" t="n"/>
      <c r="B6" s="36" t="n"/>
      <c r="C6" s="36" t="n"/>
      <c r="D6" s="36" t="n"/>
      <c r="E6" s="36" t="n"/>
    </row>
    <row r="7">
      <c r="A7" s="37" t="inlineStr">
        <is>
          <t>TOTAL CARDS</t>
        </is>
      </c>
      <c r="B7" s="37" t="n"/>
      <c r="C7" s="37" t="inlineStr">
        <is>
          <t>30-40</t>
        </is>
      </c>
      <c r="D7" s="37" t="inlineStr">
        <is>
          <t>6</t>
        </is>
      </c>
      <c r="E7" s="37" t="inlineStr">
        <is>
          <t>Just started!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 ht="26" customHeight="1">
      <c r="A1" s="1" t="inlineStr">
        <is>
          <t>HOW TO GET DATA INTO THE GAME</t>
        </is>
      </c>
    </row>
    <row r="3">
      <c r="A3" s="38" t="inlineStr">
        <is>
          <t>Step 1</t>
        </is>
      </c>
      <c r="B3" s="39" t="inlineStr">
        <is>
          <t>Fill in Weapon Base Stats sheet — one row per weapon.</t>
        </is>
      </c>
    </row>
    <row r="4">
      <c r="A4" s="38" t="inlineStr">
        <is>
          <t>Step 2</t>
        </is>
      </c>
      <c r="B4" s="39" t="inlineStr">
        <is>
          <t>Tell Claude Code: 'Import weapons from spreadsheet'.</t>
        </is>
      </c>
    </row>
    <row r="5">
      <c r="A5" s="38" t="inlineStr">
        <is>
          <t>Step 3</t>
        </is>
      </c>
      <c r="B5" s="39" t="inlineStr">
        <is>
          <t>Claude reads the sheet and regenerates data/weapons.json.</t>
        </is>
      </c>
    </row>
    <row r="6">
      <c r="A6" s="38" t="inlineStr">
        <is>
          <t>Step 4</t>
        </is>
      </c>
      <c r="B6" s="39" t="inlineStr">
        <is>
          <t>Run the game — WeaponDB loads the new JSON automatically.</t>
        </is>
      </c>
    </row>
    <row r="7">
      <c r="A7" s="38" t="n"/>
      <c r="B7" s="39" t="n"/>
    </row>
    <row r="8">
      <c r="A8" s="38" t="inlineStr">
        <is>
          <t>Fields</t>
        </is>
      </c>
      <c r="B8" s="39" t="inlineStr">
        <is>
          <t>id: unique key (no spaces). type: ballistic / energy / missile.</t>
        </is>
      </c>
    </row>
    <row r="9">
      <c r="A9" s="38" t="n"/>
      <c r="B9" s="39" t="inlineStr">
        <is>
          <t>color_r/g/b: 0.0–1.0 (bullet trail colour).</t>
        </is>
      </c>
    </row>
    <row r="10">
      <c r="A10" s="38" t="n"/>
      <c r="B10" s="39" t="inlineStr">
        <is>
          <t>dmg_scale: damage multiplier per tier (0.44 = +44% each tier).</t>
        </is>
      </c>
    </row>
    <row r="11">
      <c r="A11" s="38" t="n"/>
      <c r="B11" s="39" t="inlineStr">
        <is>
          <t>rate_scale: fire rate multiplier per tier.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18" customWidth="1" min="4" max="4"/>
  </cols>
  <sheetData>
    <row r="1">
      <c r="A1" s="32" t="inlineStr">
        <is>
          <t>EFFECT KEYS — Use these exact strings in the 'effect' column</t>
        </is>
      </c>
    </row>
    <row r="2">
      <c r="A2" s="40" t="inlineStr">
        <is>
          <t>Effect Key</t>
        </is>
      </c>
      <c r="B2" s="40" t="inlineStr">
        <is>
          <t>Type</t>
        </is>
      </c>
      <c r="C2" s="40" t="inlineStr">
        <is>
          <t>Value Meaning</t>
        </is>
      </c>
      <c r="D2" s="40" t="inlineStr">
        <is>
          <t>Example</t>
        </is>
      </c>
    </row>
    <row r="3">
      <c r="A3" s="41" t="inlineStr">
        <is>
          <t>damage_flat_pct</t>
        </is>
      </c>
      <c r="B3" s="41" t="inlineStr">
        <is>
          <t>global</t>
        </is>
      </c>
      <c r="C3" s="41" t="inlineStr">
        <is>
          <t>% added to all damage (0.2=20%)</t>
        </is>
      </c>
      <c r="D3" s="41" t="inlineStr">
        <is>
          <t>Power Surge</t>
        </is>
      </c>
    </row>
    <row r="4">
      <c r="A4" s="41" t="inlineStr">
        <is>
          <t>weapon_type_mult</t>
        </is>
      </c>
      <c r="B4" s="41" t="inlineStr">
        <is>
          <t>weapon_type</t>
        </is>
      </c>
      <c r="C4" s="41" t="inlineStr">
        <is>
          <t>Multiplier (1.5 = ×1.5 dmg)</t>
        </is>
      </c>
      <c r="D4" s="41" t="inlineStr">
        <is>
          <t>Ballistic Expert</t>
        </is>
      </c>
    </row>
    <row r="5">
      <c r="A5" s="41" t="inlineStr">
        <is>
          <t>bounce_mult</t>
        </is>
      </c>
      <c r="B5" s="41" t="inlineStr">
        <is>
          <t>conditional</t>
        </is>
      </c>
      <c r="C5" s="41" t="inlineStr">
        <is>
          <t>Multiplier on bounced shots</t>
        </is>
      </c>
      <c r="D5" s="41" t="inlineStr">
        <is>
          <t>Ricochet Artist</t>
        </is>
      </c>
    </row>
    <row r="6">
      <c r="A6" s="41" t="inlineStr">
        <is>
          <t>shield_boost</t>
        </is>
      </c>
      <c r="B6" s="41" t="inlineStr">
        <is>
          <t>global</t>
        </is>
      </c>
      <c r="C6" s="41" t="inlineStr">
        <is>
          <t>Flat shield added on hire</t>
        </is>
      </c>
      <c r="D6" s="41" t="inlineStr">
        <is>
          <t>Shield Tech</t>
        </is>
      </c>
    </row>
    <row r="7">
      <c r="A7" s="41" t="inlineStr">
        <is>
          <t>speed_boost</t>
        </is>
      </c>
      <c r="B7" s="41" t="inlineStr">
        <is>
          <t>global</t>
        </is>
      </c>
      <c r="C7" s="41" t="inlineStr">
        <is>
          <t>Flat speed added on hire</t>
        </is>
      </c>
      <c r="D7" s="41" t="inlineStr">
        <is>
          <t>Afterburner</t>
        </is>
      </c>
    </row>
    <row r="8">
      <c r="A8" s="41" t="inlineStr">
        <is>
          <t>hp_boost</t>
        </is>
      </c>
      <c r="B8" s="41" t="inlineStr">
        <is>
          <t>global</t>
        </is>
      </c>
      <c r="C8" s="41" t="inlineStr">
        <is>
          <t>Flat max HP added on hire</t>
        </is>
      </c>
      <c r="D8" s="41" t="inlineStr">
        <is>
          <t>(future)</t>
        </is>
      </c>
    </row>
    <row r="9">
      <c r="A9" s="41" t="inlineStr">
        <is>
          <t>pierce_mult</t>
        </is>
      </c>
      <c r="B9" s="41" t="inlineStr">
        <is>
          <t>conditional</t>
        </is>
      </c>
      <c r="C9" s="41" t="inlineStr">
        <is>
          <t>Multiplier on piercing shots</t>
        </is>
      </c>
      <c r="D9" s="41" t="inlineStr">
        <is>
          <t>(future)</t>
        </is>
      </c>
    </row>
    <row r="10">
      <c r="A10" s="41" t="inlineStr">
        <is>
          <t>crit_mult</t>
        </is>
      </c>
      <c r="B10" s="41" t="inlineStr">
        <is>
          <t>conditional</t>
        </is>
      </c>
      <c r="C10" s="41" t="inlineStr">
        <is>
          <t>Multiplier on crit hits</t>
        </is>
      </c>
      <c r="D10" s="41" t="inlineStr">
        <is>
          <t>(future)</t>
        </is>
      </c>
    </row>
    <row r="11">
      <c r="A11" s="41" t="n"/>
      <c r="B11" s="41" t="n"/>
      <c r="C11" s="41" t="n"/>
      <c r="D11" s="41" t="n"/>
    </row>
    <row r="12">
      <c r="A12" s="41" t="inlineStr">
        <is>
          <t>To add a NEW effect:</t>
        </is>
      </c>
      <c r="B12" s="41" t="n"/>
      <c r="C12" s="41" t="inlineStr">
        <is>
          <t>1. Add the key here</t>
        </is>
      </c>
      <c r="D12" s="41" t="n"/>
    </row>
    <row r="13">
      <c r="A13" s="41" t="n"/>
      <c r="B13" s="41" t="n"/>
      <c r="C13" s="41" t="inlineStr">
        <is>
          <t>2. Add a row in the Pilots sheet</t>
        </is>
      </c>
      <c r="D13" s="41" t="n"/>
    </row>
    <row r="14">
      <c r="A14" s="41" t="n"/>
      <c r="B14" s="41" t="n"/>
      <c r="C14" s="41" t="inlineStr">
        <is>
          <t>3. Tell Claude — a new branch in PilotManager.apply_pilots()</t>
        </is>
      </c>
      <c r="D14" s="41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20" customWidth="1" min="1" max="1"/>
    <col width="12" customWidth="1" min="2" max="2"/>
    <col width="18" customWidth="1" min="3" max="3"/>
    <col width="15" customWidth="1" min="5" max="5"/>
    <col width="18" customWidth="1" min="6" max="6"/>
    <col width="15" customWidth="1" min="8" max="8"/>
    <col width="18" customWidth="1" min="9" max="9"/>
    <col width="8.710000000000001" customWidth="1" min="10" max="10"/>
  </cols>
  <sheetData>
    <row r="1">
      <c r="A1" s="35" t="inlineStr">
        <is>
          <t>Card Name</t>
        </is>
      </c>
      <c r="B1" s="35" t="inlineStr">
        <is>
          <t>Pick Rate (%)</t>
        </is>
      </c>
      <c r="C1" s="35" t="inlineStr">
        <is>
          <t>Win Rate with Card (%)</t>
        </is>
      </c>
      <c r="D1" s="35" t="inlineStr">
        <is>
          <t>Avg Damage Increase</t>
        </is>
      </c>
      <c r="E1" s="35" t="inlineStr">
        <is>
          <t>Synergy Count</t>
        </is>
      </c>
      <c r="F1" s="35" t="inlineStr">
        <is>
          <t>Anti-Synergy Count</t>
        </is>
      </c>
      <c r="G1" s="35" t="inlineStr">
        <is>
          <t>Player Rating (1-5)</t>
        </is>
      </c>
      <c r="H1" s="35" t="inlineStr">
        <is>
          <t>Balance Status</t>
        </is>
      </c>
      <c r="I1" s="35" t="inlineStr">
        <is>
          <t>Needs Buff/Nerf?</t>
        </is>
      </c>
    </row>
    <row r="2">
      <c r="A2" s="42" t="inlineStr">
        <is>
          <t>[Fill this in after playtesting]</t>
        </is>
      </c>
    </row>
    <row r="3">
      <c r="A3" s="42" t="inlineStr">
        <is>
          <t>Track which cards are overpowered/underpowered</t>
        </is>
      </c>
    </row>
    <row r="4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 ht="15.75" customHeight="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 ht="15.75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 ht="15.75" customHeight="1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 ht="15.75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 ht="15.75" customHeight="1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5.75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</row>
    <row r="27" ht="15.75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</row>
    <row r="28" ht="15.75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</row>
    <row r="29" ht="15.75" customHeight="1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</row>
    <row r="30" ht="15.75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</row>
    <row r="31" ht="15.75" customHeight="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</row>
    <row r="32" ht="15.75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</row>
    <row r="33" ht="15.75" customHeight="1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</row>
    <row r="34" ht="15.75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</row>
    <row r="35" ht="15.75" customHeight="1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</row>
    <row r="36" ht="15.75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</row>
    <row r="37" ht="15.75" customHeight="1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</row>
    <row r="38" ht="15.75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</row>
    <row r="39" ht="15.75" customHeight="1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</row>
    <row r="40" ht="15.75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</row>
    <row r="41" ht="15.75" customHeight="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</row>
    <row r="42" ht="15.75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</row>
    <row r="43" ht="15.75" customHeight="1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</row>
    <row r="44" ht="15.75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</row>
    <row r="45" ht="15.75" customHeight="1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</row>
    <row r="46" ht="15.75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</row>
    <row r="47" ht="15.75" customHeight="1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</row>
    <row r="48" ht="15.75" customHeight="1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</row>
    <row r="49" ht="15.75" customHeight="1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</row>
    <row r="50" ht="15.75" customHeight="1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2026-03-01T18:01:43Z</dcterms:created>
  <dcterms:modified xsi:type="dcterms:W3CDTF">2026-03-01T18:50:52Z</dcterms:modified>
</cp:coreProperties>
</file>