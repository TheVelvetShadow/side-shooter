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apon Base Stats" sheetId="1" state="visible" r:id="rId1"/>
    <sheet name="Enemies" sheetId="2" state="visible" r:id="rId2"/>
    <sheet name="Tier Progression" sheetId="3" state="visible" r:id="rId3"/>
    <sheet name="Card Simulator" sheetId="4" state="visible" r:id="rId4"/>
    <sheet name="Pilots" sheetId="5" state="visible" r:id="rId5"/>
    <sheet name="Card Combos" sheetId="6" state="visible" r:id="rId6"/>
    <sheet name="Rarity Distribution" sheetId="7" state="visible" r:id="rId7"/>
    <sheet name="JSON Export Guide" sheetId="8" state="visible" r:id="rId8"/>
    <sheet name="Effect Key Reference" sheetId="9" state="visible" r:id="rId9"/>
    <sheet name="Acheivements" sheetId="10" state="visible" r:id="rId10"/>
    <sheet name="Balance Metrics" sheetId="11" state="visible" r:id="rId11"/>
  </sheets>
  <definedNames>
    <definedName name="_xlnm._FilterDatabase" localSheetId="4" hidden="1">'Pilots'!$A$2:$N$39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4">
    <font>
      <name val="Calibri"/>
      <color theme="1"/>
      <sz val="11"/>
      <scheme val="minor"/>
    </font>
    <font>
      <name val="Calibri"/>
      <b val="1"/>
      <color theme="1"/>
      <sz val="13"/>
    </font>
    <font/>
    <font>
      <name val="Calibri"/>
      <b val="1"/>
      <color theme="1"/>
      <sz val="10"/>
    </font>
    <font>
      <name val="Calibri"/>
      <i val="1"/>
      <color theme="1"/>
      <sz val="9"/>
    </font>
    <font>
      <name val="Inter"/>
      <color theme="1"/>
      <sz val="11"/>
    </font>
    <font>
      <name val="Calibri"/>
      <color theme="1"/>
      <sz val="10"/>
    </font>
    <font>
      <name val="Calibri"/>
      <b val="1"/>
      <color theme="1"/>
      <scheme val="minor"/>
    </font>
    <font>
      <name val="Calibri"/>
      <color rgb="FF000000"/>
      <scheme val="minor"/>
    </font>
    <font>
      <name val="Calibri"/>
      <color theme="1"/>
      <scheme val="minor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00"/>
      <sz val="10"/>
    </font>
    <font>
      <name val="Arial"/>
      <color rgb="FFFFFFFF"/>
      <sz val="10"/>
    </font>
    <font>
      <name val="Calibri"/>
      <color theme="1"/>
      <sz val="11"/>
    </font>
    <font>
      <name val="Arial"/>
      <i val="1"/>
      <color rgb="FF595959"/>
      <sz val="9"/>
    </font>
    <font>
      <name val="Calibri"/>
      <b val="1"/>
      <color rgb="FFFFFFFF"/>
    </font>
    <font>
      <name val="Calibri"/>
      <b val="1"/>
      <color theme="1"/>
    </font>
    <font>
      <name val="Calibri"/>
      <b val="1"/>
      <color rgb="FFE8D87C"/>
      <sz val="13"/>
    </font>
    <font>
      <name val="Calibri"/>
      <b val="1"/>
      <color rgb="FFE8D87C"/>
      <sz val="10"/>
    </font>
    <font>
      <name val="Calibri"/>
      <color rgb="FFC8D8E8"/>
      <sz val="10"/>
    </font>
    <font>
      <name val="Calibri"/>
      <color theme="1"/>
    </font>
  </fonts>
  <fills count="18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BDD7EE"/>
        <bgColor rgb="FFBDD7EE"/>
      </patternFill>
    </fill>
    <fill>
      <patternFill patternType="solid">
        <fgColor rgb="FF9DC3E6"/>
        <bgColor rgb="FF9DC3E6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4472C4"/>
        <bgColor rgb="FF4472C4"/>
      </patternFill>
    </fill>
    <fill>
      <patternFill patternType="solid">
        <fgColor rgb="FF0D1520"/>
        <bgColor rgb="FF0D1520"/>
      </patternFill>
    </fill>
    <fill>
      <patternFill patternType="solid">
        <fgColor rgb="FF1E2A3A"/>
        <bgColor rgb="FF1E2A3A"/>
      </patternFill>
    </fill>
    <fill>
      <patternFill patternType="solid">
        <fgColor rgb="FF161E2A"/>
        <bgColor rgb="FF161E2A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2E4060"/>
      </left>
      <right style="thin">
        <color rgb="FF2E4060"/>
      </right>
      <top style="thin">
        <color rgb="FF2E4060"/>
      </top>
      <bottom style="thin">
        <color rgb="FF2E406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 style="thin">
        <color rgb="FFAAAAAA"/>
      </right>
    </border>
    <border>
      <left style="thin">
        <color rgb="FFAAAAAA"/>
      </left>
      <right style="thin">
        <color rgb="FFAAAAAA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AAAAAA"/>
      </left>
      <right style="thin">
        <color rgb="FFAAAAAA"/>
      </right>
      <top style="thin">
        <color rgb="FFAAAAAA"/>
      </top>
      <bottom/>
    </border>
    <border>
      <left style="thin">
        <color rgb="FFAAAAAA"/>
      </left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9" fontId="6" fillId="0" borderId="4" applyAlignment="1" pivotButton="0" quotePrefix="0" xfId="0">
      <alignment horizontal="center" vertical="center"/>
    </xf>
    <xf numFmtId="9" fontId="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49" fontId="8" fillId="2" borderId="0" applyAlignment="1" pivotButton="0" quotePrefix="0" xfId="0">
      <alignment horizontal="left" vertical="center"/>
    </xf>
    <xf numFmtId="49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164" fontId="14" fillId="7" borderId="5" applyAlignment="1" pivotButton="0" quotePrefix="0" xfId="0">
      <alignment horizontal="center" vertical="center"/>
    </xf>
    <xf numFmtId="164" fontId="14" fillId="8" borderId="5" applyAlignment="1" pivotButton="0" quotePrefix="0" xfId="0">
      <alignment horizontal="center" vertical="center"/>
    </xf>
    <xf numFmtId="164" fontId="14" fillId="9" borderId="5" applyAlignment="1" pivotButton="0" quotePrefix="0" xfId="0">
      <alignment horizontal="center" vertical="center"/>
    </xf>
    <xf numFmtId="164" fontId="15" fillId="10" borderId="5" applyAlignment="1" pivotButton="0" quotePrefix="0" xfId="0">
      <alignment horizontal="center" vertical="center"/>
    </xf>
    <xf numFmtId="164" fontId="11" fillId="4" borderId="5" applyAlignment="1" pivotButton="0" quotePrefix="0" xfId="0">
      <alignment horizontal="center" vertical="center"/>
    </xf>
    <xf numFmtId="0" fontId="2" fillId="0" borderId="7" pivotButton="0" quotePrefix="0" xfId="0"/>
    <xf numFmtId="0" fontId="13" fillId="11" borderId="5" applyAlignment="1" pivotButton="0" quotePrefix="0" xfId="0">
      <alignment horizontal="left" vertical="center"/>
    </xf>
    <xf numFmtId="0" fontId="2" fillId="0" borderId="8" pivotButton="0" quotePrefix="0" xfId="0"/>
    <xf numFmtId="0" fontId="16" fillId="0" borderId="5" applyAlignment="1" pivotButton="0" quotePrefix="0" xfId="0">
      <alignment vertical="bottom"/>
    </xf>
    <xf numFmtId="0" fontId="17" fillId="0" borderId="0" applyAlignment="1" pivotButton="0" quotePrefix="0" xfId="0">
      <alignment horizontal="left" vertical="center"/>
    </xf>
    <xf numFmtId="0" fontId="11" fillId="4" borderId="5" applyAlignment="1" pivotButton="0" quotePrefix="0" xfId="0">
      <alignment horizontal="center" vertical="center" wrapText="1"/>
    </xf>
    <xf numFmtId="1" fontId="13" fillId="12" borderId="5" applyAlignment="1" pivotButton="0" quotePrefix="0" xfId="0">
      <alignment horizontal="center" vertical="center"/>
    </xf>
    <xf numFmtId="164" fontId="13" fillId="6" borderId="5" applyAlignment="1" pivotButton="0" quotePrefix="0" xfId="0">
      <alignment horizontal="center" vertical="center"/>
    </xf>
    <xf numFmtId="2" fontId="13" fillId="6" borderId="5" applyAlignment="1" pivotButton="0" quotePrefix="0" xfId="0">
      <alignment horizontal="center" vertical="center"/>
    </xf>
    <xf numFmtId="1" fontId="13" fillId="6" borderId="5" applyAlignment="1" pivotButton="0" quotePrefix="0" xfId="0">
      <alignment horizontal="center" vertical="center"/>
    </xf>
    <xf numFmtId="164" fontId="13" fillId="12" borderId="5" applyAlignment="1" pivotButton="0" quotePrefix="0" xfId="0">
      <alignment horizontal="center" vertical="center"/>
    </xf>
    <xf numFmtId="2" fontId="13" fillId="12" borderId="5" applyAlignment="1" pivotButton="0" quotePrefix="0" xfId="0">
      <alignment horizontal="center" vertical="center"/>
    </xf>
    <xf numFmtId="165" fontId="12" fillId="13" borderId="5" applyAlignment="1" pivotButton="0" quotePrefix="0" xfId="0">
      <alignment horizontal="center" vertical="center"/>
    </xf>
    <xf numFmtId="164" fontId="13" fillId="11" borderId="5" applyAlignment="1" pivotButton="0" quotePrefix="0" xfId="0">
      <alignment horizontal="center" vertical="center"/>
    </xf>
    <xf numFmtId="2" fontId="13" fillId="11" borderId="5" applyAlignment="1" pivotButton="0" quotePrefix="0" xfId="0">
      <alignment horizontal="center" vertical="center"/>
    </xf>
    <xf numFmtId="1" fontId="13" fillId="11" borderId="5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18" fillId="14" borderId="9" applyAlignment="1" pivotButton="0" quotePrefix="0" xfId="0">
      <alignment horizontal="center" vertical="center"/>
    </xf>
    <xf numFmtId="0" fontId="16" fillId="0" borderId="9" pivotButton="0" quotePrefix="0" xfId="0"/>
    <xf numFmtId="10" fontId="18" fillId="14" borderId="9" applyAlignment="1" pivotButton="0" quotePrefix="0" xfId="0">
      <alignment horizontal="center" vertical="center"/>
    </xf>
    <xf numFmtId="10" fontId="16" fillId="0" borderId="9" applyAlignment="1" pivotButton="0" quotePrefix="0" xfId="0">
      <alignment horizontal="center"/>
    </xf>
    <xf numFmtId="0" fontId="16" fillId="0" borderId="9" pivotButton="0" quotePrefix="0" xfId="0"/>
    <xf numFmtId="0" fontId="9" fillId="0" borderId="9" pivotButton="0" quotePrefix="0" xfId="0"/>
    <xf numFmtId="10" fontId="9" fillId="0" borderId="9" applyAlignment="1" pivotButton="0" quotePrefix="0" xfId="0">
      <alignment horizontal="center"/>
    </xf>
    <xf numFmtId="0" fontId="9" fillId="0" borderId="9" pivotButton="0" quotePrefix="0" xfId="0"/>
    <xf numFmtId="0" fontId="19" fillId="0" borderId="9" pivotButton="0" quotePrefix="0" xfId="0"/>
    <xf numFmtId="10" fontId="19" fillId="0" borderId="9" applyAlignment="1" pivotButton="0" quotePrefix="0" xfId="0">
      <alignment horizontal="center"/>
    </xf>
    <xf numFmtId="0" fontId="19" fillId="0" borderId="9" pivotButton="0" quotePrefix="0" xfId="0"/>
    <xf numFmtId="10" fontId="9" fillId="0" borderId="0" applyAlignment="1" pivotButton="0" quotePrefix="0" xfId="0">
      <alignment horizontal="center"/>
    </xf>
    <xf numFmtId="0" fontId="20" fillId="15" borderId="1" applyAlignment="1" pivotButton="0" quotePrefix="0" xfId="0">
      <alignment horizontal="left" vertical="center"/>
    </xf>
    <xf numFmtId="0" fontId="21" fillId="16" borderId="10" pivotButton="0" quotePrefix="0" xfId="0"/>
    <xf numFmtId="0" fontId="22" fillId="17" borderId="10" applyAlignment="1" pivotButton="0" quotePrefix="0" xfId="0">
      <alignment wrapText="1"/>
    </xf>
    <xf numFmtId="0" fontId="20" fillId="15" borderId="0" applyAlignment="1" pivotButton="0" quotePrefix="0" xfId="0">
      <alignment horizontal="left" vertical="center"/>
    </xf>
    <xf numFmtId="0" fontId="21" fillId="16" borderId="4" applyAlignment="1" pivotButton="0" quotePrefix="0" xfId="0">
      <alignment horizontal="left" vertical="center" wrapText="1"/>
    </xf>
    <xf numFmtId="0" fontId="22" fillId="17" borderId="4" applyAlignment="1" pivotButton="0" quotePrefix="0" xfId="0">
      <alignment horizontal="left" vertical="center" wrapText="1"/>
    </xf>
    <xf numFmtId="0" fontId="7" fillId="0" borderId="0" pivotButton="0" quotePrefix="0" xfId="0"/>
    <xf numFmtId="0" fontId="23" fillId="0" borderId="0" pivotButton="0" quotePrefix="0" xfId="0"/>
    <xf numFmtId="0" fontId="0" fillId="0" borderId="0" pivotButton="0" quotePrefix="0" xfId="0"/>
    <xf numFmtId="0" fontId="1" fillId="0" borderId="10" applyAlignment="1" pivotButton="0" quotePrefix="0" xfId="0">
      <alignment horizontal="left" vertical="center"/>
    </xf>
    <xf numFmtId="0" fontId="10" fillId="4" borderId="10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0" fontId="0" fillId="0" borderId="7" pivotButton="0" quotePrefix="0" xfId="0"/>
    <xf numFmtId="0" fontId="20" fillId="15" borderId="10" applyAlignment="1" pivotButton="0" quotePrefix="0" xfId="0">
      <alignment horizontal="left" vertical="center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Enemi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e1" displayName="Table1" ref="A1:AB12" headerRowCount="1">
  <tableColumns count="28">
    <tableColumn id="1" name="Name"/>
    <tableColumn id="2" name="Ante "/>
    <tableColumn id="3" name="Level"/>
    <tableColumn id="4" name="enemy_type"/>
    <tableColumn id="5" name="movement_type"/>
    <tableColumn id="6" name="wave_amplitude"/>
    <tableColumn id="7" name="wave_frequency"/>
    <tableColumn id="8" name="dart_interval"/>
    <tableColumn id="9" name="dart_speed_mult"/>
    <tableColumn id="10" name="spawn_type"/>
    <tableColumn id="11" name="spawn_weight"/>
    <tableColumn id="12" name="spawn_amount"/>
    <tableColumn id="13" name="hp"/>
    <tableColumn id="14" name="Base HP"/>
    <tableColumn id="15" name="contact_damage "/>
    <tableColumn id="16" name="entry_speed"/>
    <tableColumn id="17" name="speed"/>
    <tableColumn id="18" name="xp_value"/>
    <tableColumn id="19" name="gem_count"/>
    <tableColumn id="20" name="weapon_drop_chance"/>
    <tableColumn id="21" name="fire_interval"/>
    <tableColumn id="22" name="bullet_speed"/>
    <tableColumn id="23" name="shoot_pattern"/>
    <tableColumn id="24" name="enemy_bullet_strength"/>
    <tableColumn id="25" name="hp_scale"/>
    <tableColumn id="26" name="damage_scale"/>
    <tableColumn id="27" name="armor_type"/>
    <tableColumn id="28" name="Notes"/>
  </tableColumns>
  <tableStyleInfo name="Enemi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6.14" customWidth="1" style="70" min="1" max="1"/>
    <col width="16" customWidth="1" style="70" min="2" max="2"/>
    <col width="14" customWidth="1" style="70" min="3" max="3"/>
    <col width="11" customWidth="1" style="70" min="4" max="4"/>
    <col width="13" customWidth="1" style="70" min="5" max="5"/>
    <col width="9.57" customWidth="1" style="70" min="6" max="6"/>
    <col width="13" customWidth="1" style="70" min="7" max="13"/>
    <col width="11" customWidth="1" style="70" min="14" max="15"/>
    <col width="9" customWidth="1" style="70" min="16" max="18"/>
    <col width="30" customWidth="1" style="70" min="19" max="19"/>
    <col width="8.710000000000001" customWidth="1" style="70" min="20" max="33"/>
  </cols>
  <sheetData>
    <row r="1" ht="25.5" customHeight="1" s="70">
      <c r="A1" s="71" t="inlineStr">
        <is>
          <t>WEAPON BASE STATS  —  Edit yellow/green cells. Do not rename columns (game reads by header).</t>
        </is>
      </c>
    </row>
    <row r="2" ht="39.75" customHeight="1" s="70">
      <c r="A2" s="5" t="inlineStr">
        <is>
          <t>Weapon ID
(no spaces)</t>
        </is>
      </c>
      <c r="B2" s="5" t="inlineStr">
        <is>
          <t>Display Name</t>
        </is>
      </c>
      <c r="C2" s="5" t="inlineStr">
        <is>
          <t>Type
ballistic/energy/missile</t>
        </is>
      </c>
      <c r="D2" s="5" t="inlineStr">
        <is>
          <t>Base Damage
(tier 1)</t>
        </is>
      </c>
      <c r="E2" s="5" t="inlineStr">
        <is>
          <t>AOE</t>
        </is>
      </c>
      <c r="F2" s="5" t="inlineStr">
        <is>
          <t>burn_pct:</t>
        </is>
      </c>
      <c r="G2" s="5" t="inlineStr">
        <is>
          <t>burn_duration</t>
        </is>
      </c>
      <c r="H2" s="5" t="inlineStr">
        <is>
          <t>split_count</t>
        </is>
      </c>
      <c r="I2" s="5" t="inlineStr">
        <is>
          <t>split_trigger</t>
        </is>
      </c>
      <c r="J2" s="5" t="inlineStr">
        <is>
          <t>child_dmg_pct</t>
        </is>
      </c>
      <c r="K2" s="5" t="inlineStr">
        <is>
          <t>child_spread_angle</t>
        </is>
      </c>
      <c r="L2" s="5" t="inlineStr">
        <is>
          <t>Fire Rate
(sec between shots)</t>
        </is>
      </c>
      <c r="M2" s="5" t="inlineStr">
        <is>
          <t>Bullet Speed
(pixels/sec)</t>
        </is>
      </c>
      <c r="N2" s="5" t="inlineStr">
        <is>
          <t>DMG Scale
(per tier, 0–1)</t>
        </is>
      </c>
      <c r="O2" s="5" t="inlineStr">
        <is>
          <t>Rate Scale
(per tier, 0–1)</t>
        </is>
      </c>
      <c r="P2" s="5" t="inlineStr">
        <is>
          <t>Colour R
(0–1)</t>
        </is>
      </c>
      <c r="Q2" s="5" t="inlineStr">
        <is>
          <t>Colour G
(0–1)</t>
        </is>
      </c>
      <c r="R2" s="5" t="inlineStr">
        <is>
          <t>Colour B
(0–1)</t>
        </is>
      </c>
      <c r="S2" s="5" t="inlineStr">
        <is>
          <t>Design Notes</t>
        </is>
      </c>
    </row>
    <row r="3" ht="19.5" customHeight="1" s="70">
      <c r="A3" s="6" t="inlineStr">
        <is>
          <t>Used in weapons.json key</t>
        </is>
      </c>
      <c r="B3" s="6" t="inlineStr">
        <is>
          <t>Shown in HUD</t>
        </is>
      </c>
      <c r="C3" s="6" t="inlineStr">
        <is>
          <t>Affects pilot multipliers</t>
        </is>
      </c>
      <c r="D3" s="6" t="inlineStr">
        <is>
          <t>Integer</t>
        </is>
      </c>
      <c r="E3" s="6" t="n"/>
      <c r="F3" s="6" t="n"/>
      <c r="G3" s="6" t="n"/>
      <c r="H3" s="6" t="n"/>
      <c r="I3" s="6" t="n"/>
      <c r="J3" s="6" t="n"/>
      <c r="K3" s="6" t="n"/>
      <c r="L3" s="6" t="inlineStr">
        <is>
          <t>Lower = faster</t>
        </is>
      </c>
      <c r="M3" s="6" t="inlineStr">
        <is>
          <t>Typical 500–1100</t>
        </is>
      </c>
      <c r="N3" s="6" t="inlineStr">
        <is>
          <t>e.g. 0.44 = +44% per tier</t>
        </is>
      </c>
      <c r="O3" s="6" t="inlineStr">
        <is>
          <t>e.g. 0.16 = +16% per tier</t>
        </is>
      </c>
      <c r="P3" s="6" t="inlineStr">
        <is>
          <t>Bullet colour, red channel</t>
        </is>
      </c>
      <c r="Q3" s="6" t="n"/>
      <c r="R3" s="6" t="n"/>
      <c r="S3" s="6" t="inlineStr">
        <is>
          <t>For your reference only</t>
        </is>
      </c>
    </row>
    <row r="4">
      <c r="A4" s="7" t="inlineStr">
        <is>
          <t>machine gun</t>
        </is>
      </c>
      <c r="B4" s="9" t="inlineStr">
        <is>
          <t>Ballistic</t>
        </is>
      </c>
      <c r="C4" s="9" t="inlineStr">
        <is>
          <t>ballistic</t>
        </is>
      </c>
      <c r="D4" s="9" t="n">
        <v>10</v>
      </c>
      <c r="E4" s="9" t="n">
        <v>0</v>
      </c>
      <c r="F4" s="11" t="n"/>
      <c r="G4" s="9" t="n"/>
      <c r="H4" s="9" t="n">
        <v>0</v>
      </c>
      <c r="I4" s="9" t="n">
        <v>0</v>
      </c>
      <c r="J4" s="11" t="n">
        <v>0</v>
      </c>
      <c r="K4" s="9" t="n">
        <v>0</v>
      </c>
      <c r="L4" s="9" t="n">
        <v>0.2</v>
      </c>
      <c r="M4" s="9" t="n">
        <v>900</v>
      </c>
      <c r="N4" s="9" t="n">
        <v>0.44</v>
      </c>
      <c r="O4" s="9" t="n">
        <v>0.16</v>
      </c>
      <c r="P4" s="9" t="n">
        <v>1</v>
      </c>
      <c r="Q4" s="9" t="n">
        <v>1</v>
      </c>
      <c r="R4" s="9" t="n">
        <v>0.2</v>
      </c>
      <c r="S4" s="13" t="inlineStr">
        <is>
          <t xml:space="preserve">Fast, low damage. As levels up more projectiles - level one = 1 bullet, level 2 = </t>
        </is>
      </c>
    </row>
    <row r="5">
      <c r="A5" s="9" t="inlineStr">
        <is>
          <t>energy_beam</t>
        </is>
      </c>
      <c r="B5" s="9" t="inlineStr">
        <is>
          <t>Energy</t>
        </is>
      </c>
      <c r="C5" s="9" t="inlineStr">
        <is>
          <t>energy</t>
        </is>
      </c>
      <c r="D5" s="9" t="n">
        <v>18</v>
      </c>
      <c r="E5" s="9" t="n">
        <v>0.2</v>
      </c>
      <c r="F5" s="11" t="n">
        <v>0.1</v>
      </c>
      <c r="G5" s="9" t="n">
        <v>1</v>
      </c>
      <c r="H5" s="9" t="n">
        <v>0</v>
      </c>
      <c r="I5" s="9" t="n">
        <v>0</v>
      </c>
      <c r="J5" s="11" t="n">
        <v>0</v>
      </c>
      <c r="K5" s="9" t="n">
        <v>0</v>
      </c>
      <c r="L5" s="9" t="n">
        <v>0.38</v>
      </c>
      <c r="M5" s="9" t="n">
        <v>1100</v>
      </c>
      <c r="N5" s="9" t="n">
        <v>0.44</v>
      </c>
      <c r="O5" s="9" t="n">
        <v>0.16</v>
      </c>
      <c r="P5" s="9" t="n">
        <v>0.2</v>
      </c>
      <c r="Q5" s="9" t="n">
        <v>0.8</v>
      </c>
      <c r="R5" s="9" t="n">
        <v>1</v>
      </c>
      <c r="S5" s="13" t="inlineStr">
        <is>
          <t>Mid damage, fastest bullet.</t>
        </is>
      </c>
    </row>
    <row r="6">
      <c r="A6" s="9" t="inlineStr">
        <is>
          <t>missile</t>
        </is>
      </c>
      <c r="B6" s="9" t="inlineStr">
        <is>
          <t>Missile</t>
        </is>
      </c>
      <c r="C6" s="9" t="inlineStr">
        <is>
          <t>missile</t>
        </is>
      </c>
      <c r="D6" s="9" t="n">
        <v>35</v>
      </c>
      <c r="E6" s="9" t="n">
        <v>0.3</v>
      </c>
      <c r="F6" s="11" t="n">
        <v>0.02</v>
      </c>
      <c r="G6" s="9" t="n">
        <v>1</v>
      </c>
      <c r="H6" s="9" t="n">
        <v>0</v>
      </c>
      <c r="I6" s="9" t="n">
        <v>0</v>
      </c>
      <c r="J6" s="11" t="n">
        <v>0</v>
      </c>
      <c r="K6" s="9" t="n">
        <v>0</v>
      </c>
      <c r="L6" s="9" t="n">
        <v>0.75</v>
      </c>
      <c r="M6" s="9" t="n">
        <v>500</v>
      </c>
      <c r="N6" s="9" t="n">
        <v>0.44</v>
      </c>
      <c r="O6" s="9" t="n">
        <v>0.16</v>
      </c>
      <c r="P6" s="9" t="n">
        <v>1</v>
      </c>
      <c r="Q6" s="9" t="n">
        <v>0.35</v>
      </c>
      <c r="R6" s="9" t="n">
        <v>0.1</v>
      </c>
      <c r="S6" s="13" t="inlineStr">
        <is>
          <t>Slow fire, heavy damage. Orange.</t>
        </is>
      </c>
    </row>
    <row r="7">
      <c r="A7" s="9" t="inlineStr">
        <is>
          <t>homing missle</t>
        </is>
      </c>
      <c r="B7" s="9" t="inlineStr">
        <is>
          <t>Missile</t>
        </is>
      </c>
      <c r="C7" s="9" t="inlineStr">
        <is>
          <t>ballistic</t>
        </is>
      </c>
      <c r="D7" s="9" t="n">
        <v>30</v>
      </c>
      <c r="E7" s="9" t="n">
        <v>0.3</v>
      </c>
      <c r="F7" s="11" t="n">
        <v>0.02</v>
      </c>
      <c r="G7" s="9" t="n">
        <v>1</v>
      </c>
      <c r="H7" s="9" t="n">
        <v>0</v>
      </c>
      <c r="I7" s="9" t="n">
        <v>0</v>
      </c>
      <c r="J7" s="11" t="n">
        <v>0</v>
      </c>
      <c r="K7" s="9" t="n">
        <v>0</v>
      </c>
      <c r="L7" s="9" t="n">
        <v>0.8</v>
      </c>
      <c r="M7" s="9" t="n">
        <v>500</v>
      </c>
      <c r="N7" s="9" t="n"/>
      <c r="O7" s="9" t="n"/>
      <c r="P7" s="9" t="n"/>
      <c r="Q7" s="9" t="n"/>
      <c r="R7" s="9" t="n"/>
      <c r="S7" s="13" t="n"/>
    </row>
    <row r="8">
      <c r="A8" s="9" t="inlineStr">
        <is>
          <t>nano bots</t>
        </is>
      </c>
      <c r="B8" s="9" t="inlineStr">
        <is>
          <t>Ballistic</t>
        </is>
      </c>
      <c r="C8" s="9" t="inlineStr">
        <is>
          <t>energy</t>
        </is>
      </c>
      <c r="D8" s="9" t="n">
        <v>10</v>
      </c>
      <c r="E8" s="9" t="n">
        <v>0</v>
      </c>
      <c r="F8" s="11" t="n">
        <v>0</v>
      </c>
      <c r="G8" s="9" t="n">
        <v>0</v>
      </c>
      <c r="H8" s="9" t="n">
        <v>20</v>
      </c>
      <c r="I8" s="9" t="inlineStr">
        <is>
          <t>impact</t>
        </is>
      </c>
      <c r="J8" s="11" t="n">
        <v>0.1</v>
      </c>
      <c r="K8" s="9" t="n">
        <v>0</v>
      </c>
      <c r="L8" s="9" t="n">
        <v>0.2</v>
      </c>
      <c r="M8" s="9" t="n">
        <v>900</v>
      </c>
      <c r="N8" s="9" t="n"/>
      <c r="O8" s="9" t="n"/>
      <c r="P8" s="9" t="n"/>
      <c r="Q8" s="9" t="n"/>
      <c r="R8" s="9" t="n"/>
      <c r="S8" s="13" t="inlineStr">
        <is>
          <t>many of them, scattered - but can create massive damage when merged with higher powered weapons</t>
        </is>
      </c>
    </row>
    <row r="9">
      <c r="A9" s="9" t="inlineStr">
        <is>
          <t>nuke</t>
        </is>
      </c>
      <c r="B9" s="9" t="inlineStr">
        <is>
          <t>Missile</t>
        </is>
      </c>
      <c r="C9" s="9" t="inlineStr">
        <is>
          <t>missile</t>
        </is>
      </c>
      <c r="D9" s="9" t="n">
        <v>200</v>
      </c>
      <c r="E9" s="9" t="n">
        <v>1</v>
      </c>
      <c r="F9" s="11" t="n">
        <v>0.75</v>
      </c>
      <c r="G9" s="9" t="n">
        <v>5</v>
      </c>
      <c r="H9" s="9" t="n">
        <v>0</v>
      </c>
      <c r="I9" s="9" t="n">
        <v>0</v>
      </c>
      <c r="J9" s="11" t="n">
        <v>0</v>
      </c>
      <c r="K9" s="9" t="n">
        <v>0</v>
      </c>
      <c r="L9" s="9" t="n">
        <v>1</v>
      </c>
      <c r="M9" s="9" t="n">
        <v>500</v>
      </c>
      <c r="N9" s="9" t="n"/>
      <c r="O9" s="9" t="n"/>
      <c r="P9" s="9" t="n"/>
      <c r="Q9" s="9" t="n"/>
      <c r="R9" s="9" t="n"/>
      <c r="S9" s="13" t="n"/>
    </row>
    <row r="10">
      <c r="A10" s="9" t="inlineStr">
        <is>
          <t>Napalm</t>
        </is>
      </c>
      <c r="B10" s="9" t="inlineStr">
        <is>
          <t>Fire</t>
        </is>
      </c>
      <c r="C10" s="9" t="inlineStr">
        <is>
          <t>Fire</t>
        </is>
      </c>
      <c r="D10" s="9" t="n">
        <v>200</v>
      </c>
      <c r="E10" s="9" t="n">
        <v>0.5</v>
      </c>
      <c r="F10" s="11" t="n">
        <v>0.5</v>
      </c>
      <c r="G10" s="9" t="n">
        <v>3</v>
      </c>
      <c r="H10" s="9" t="n">
        <v>0</v>
      </c>
      <c r="I10" s="9" t="n">
        <v>0</v>
      </c>
      <c r="J10" s="11" t="n">
        <v>0</v>
      </c>
      <c r="K10" s="9" t="n">
        <v>0</v>
      </c>
      <c r="L10" s="9" t="n"/>
      <c r="M10" s="9" t="n">
        <v>600</v>
      </c>
      <c r="N10" s="9" t="n">
        <v>0.44</v>
      </c>
      <c r="O10" s="9" t="n"/>
      <c r="P10" s="9" t="n"/>
      <c r="Q10" s="9" t="n"/>
      <c r="R10" s="9" t="n"/>
      <c r="S10" s="13" t="inlineStr">
        <is>
          <t>sticks to enemy - dmg over time</t>
        </is>
      </c>
    </row>
    <row r="11">
      <c r="A11" s="9" t="inlineStr">
        <is>
          <t>cluster bomb</t>
        </is>
      </c>
      <c r="B11" s="9" t="inlineStr">
        <is>
          <t>Ballistic</t>
        </is>
      </c>
      <c r="C11" s="9" t="inlineStr">
        <is>
          <t>Ballistic</t>
        </is>
      </c>
      <c r="D11" s="9" t="n">
        <v>100</v>
      </c>
      <c r="E11" s="9" t="n">
        <v>0.3</v>
      </c>
      <c r="F11" s="11" t="n">
        <v>0.01</v>
      </c>
      <c r="G11" s="9" t="n">
        <v>1</v>
      </c>
      <c r="H11" s="9" t="n">
        <v>10</v>
      </c>
      <c r="I11" s="9" t="inlineStr">
        <is>
          <t>impact</t>
        </is>
      </c>
      <c r="J11" s="11" t="n">
        <v>0.3</v>
      </c>
      <c r="K11" s="9" t="n"/>
      <c r="L11" s="9" t="n"/>
      <c r="M11" s="9" t="n">
        <v>500</v>
      </c>
      <c r="N11" s="9" t="n"/>
      <c r="O11" s="9" t="n"/>
      <c r="P11" s="9" t="n"/>
      <c r="Q11" s="9" t="n"/>
      <c r="R11" s="9" t="n"/>
      <c r="S11" s="13" t="n"/>
    </row>
    <row r="12">
      <c r="A12" s="9" t="inlineStr">
        <is>
          <t>heavy machine gun</t>
        </is>
      </c>
      <c r="B12" s="9" t="inlineStr">
        <is>
          <t>Ballistic</t>
        </is>
      </c>
      <c r="C12" s="9" t="inlineStr">
        <is>
          <t>Ballistic</t>
        </is>
      </c>
      <c r="D12" s="9" t="n">
        <v>14</v>
      </c>
      <c r="E12" s="9" t="n">
        <v>0</v>
      </c>
      <c r="F12" s="11" t="n">
        <v>0</v>
      </c>
      <c r="G12" s="9" t="n">
        <v>0</v>
      </c>
      <c r="H12" s="9" t="n">
        <v>0</v>
      </c>
      <c r="I12" s="9" t="n">
        <v>0</v>
      </c>
      <c r="J12" s="11" t="n">
        <v>0</v>
      </c>
      <c r="K12" s="9" t="n">
        <v>0</v>
      </c>
      <c r="L12" s="9" t="n">
        <v>0.25</v>
      </c>
      <c r="M12" s="9" t="n">
        <v>700</v>
      </c>
      <c r="N12" s="9" t="n"/>
      <c r="O12" s="9" t="n"/>
      <c r="P12" s="9" t="n"/>
      <c r="Q12" s="9" t="n"/>
      <c r="R12" s="9" t="n"/>
      <c r="S12" s="13" t="n"/>
    </row>
    <row r="13">
      <c r="A13" s="9" t="n"/>
      <c r="B13" s="9" t="n"/>
      <c r="C13" s="9" t="n"/>
      <c r="D13" s="9" t="n"/>
      <c r="E13" s="9" t="n"/>
      <c r="F13" s="11" t="n"/>
      <c r="G13" s="9" t="n"/>
      <c r="H13" s="9" t="n"/>
      <c r="I13" s="9" t="n"/>
      <c r="J13" s="11" t="n"/>
      <c r="K13" s="9" t="n"/>
      <c r="L13" s="9" t="n"/>
      <c r="M13" s="9" t="n"/>
      <c r="N13" s="9" t="n"/>
      <c r="O13" s="9" t="n"/>
      <c r="P13" s="9" t="n"/>
      <c r="Q13" s="9" t="n"/>
      <c r="R13" s="9" t="n"/>
      <c r="S13" s="13" t="n"/>
    </row>
    <row r="14">
      <c r="A14" s="9" t="n"/>
      <c r="B14" s="9" t="n"/>
      <c r="C14" s="9" t="n"/>
      <c r="D14" s="9" t="n"/>
      <c r="E14" s="9" t="n"/>
      <c r="F14" s="11" t="n"/>
      <c r="G14" s="9" t="n"/>
      <c r="H14" s="9" t="n"/>
      <c r="I14" s="9" t="n"/>
      <c r="J14" s="11" t="n"/>
      <c r="K14" s="9" t="n"/>
      <c r="L14" s="9" t="n"/>
      <c r="M14" s="9" t="n"/>
      <c r="N14" s="9" t="n"/>
      <c r="O14" s="9" t="n"/>
      <c r="P14" s="9" t="n"/>
      <c r="Q14" s="9" t="n"/>
      <c r="R14" s="9" t="n"/>
      <c r="S14" s="13" t="n"/>
    </row>
    <row r="15">
      <c r="J15" s="11" t="n"/>
    </row>
    <row r="16">
      <c r="J16" s="11" t="n"/>
    </row>
    <row r="17">
      <c r="J17" s="11" t="n"/>
    </row>
    <row r="21" ht="15.75" customHeight="1" s="70"/>
    <row r="22" ht="15.75" customHeight="1" s="70"/>
    <row r="23" ht="15.75" customHeight="1" s="70"/>
    <row r="24" ht="15.75" customHeight="1" s="70"/>
    <row r="25" ht="15.75" customHeight="1" s="70"/>
    <row r="26" ht="15.75" customHeight="1" s="70"/>
    <row r="27" ht="15.75" customHeight="1" s="70"/>
    <row r="28" ht="15.75" customHeight="1" s="70"/>
    <row r="29" ht="15.75" customHeight="1" s="70"/>
    <row r="30" ht="15.75" customHeight="1" s="70"/>
    <row r="31" ht="15.75" customHeight="1" s="70"/>
    <row r="32" ht="15.75" customHeight="1" s="70"/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mergeCells count="1">
    <mergeCell ref="A1:S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43" customWidth="1" style="70" min="1" max="1"/>
    <col width="13" customWidth="1" style="70" min="2" max="2"/>
    <col width="9.57" customWidth="1" style="70" min="3" max="3"/>
    <col width="18.29" customWidth="1" style="70" min="4" max="4"/>
    <col width="19.86" customWidth="1" style="70" min="5" max="5"/>
    <col width="16.71" customWidth="1" style="70" min="6" max="8"/>
    <col width="22.71" customWidth="1" style="70" min="9" max="9"/>
    <col width="16.71" customWidth="1" style="70" min="10" max="10"/>
    <col width="21.71" customWidth="1" style="70" min="11" max="11"/>
    <col width="21" customWidth="1" style="70" min="12" max="12"/>
    <col width="21.29" customWidth="1" style="70" min="15" max="15"/>
    <col width="18" customWidth="1" style="70" min="16" max="16"/>
    <col width="16.71" customWidth="1" style="70" min="19" max="19"/>
    <col width="26.57" customWidth="1" style="70" min="20" max="20"/>
    <col width="17.29" customWidth="1" style="70" min="21" max="21"/>
    <col width="18.43" customWidth="1" style="70" min="22" max="22"/>
    <col width="17.57" customWidth="1" style="70" min="23" max="23"/>
    <col width="28.29" customWidth="1" style="70" min="24" max="24"/>
    <col width="18.86" customWidth="1" style="70" min="26" max="26"/>
    <col width="18.14" customWidth="1" style="70" min="27" max="27"/>
  </cols>
  <sheetData>
    <row r="1" ht="22.5" customHeight="1" s="70">
      <c r="A1" s="14" t="inlineStr">
        <is>
          <t>Name</t>
        </is>
      </c>
      <c r="B1" s="14" t="inlineStr">
        <is>
          <t xml:space="preserve">Ante </t>
        </is>
      </c>
      <c r="C1" s="15" t="inlineStr">
        <is>
          <t>Level</t>
        </is>
      </c>
      <c r="D1" s="15" t="inlineStr">
        <is>
          <t>enemy_type</t>
        </is>
      </c>
      <c r="E1" s="16" t="inlineStr">
        <is>
          <t>movement_type</t>
        </is>
      </c>
      <c r="F1" s="16" t="inlineStr">
        <is>
          <t>wave_amplitude</t>
        </is>
      </c>
      <c r="G1" s="16" t="inlineStr">
        <is>
          <t>wave_frequency</t>
        </is>
      </c>
      <c r="H1" s="16" t="inlineStr">
        <is>
          <t>dart_interval</t>
        </is>
      </c>
      <c r="I1" s="16" t="inlineStr">
        <is>
          <t>dart_speed_mult</t>
        </is>
      </c>
      <c r="J1" s="17" t="inlineStr">
        <is>
          <t>spawn_type</t>
        </is>
      </c>
      <c r="K1" s="18" t="inlineStr">
        <is>
          <t>spawn_weight</t>
        </is>
      </c>
      <c r="L1" s="18" t="inlineStr">
        <is>
          <t>spawn_amount</t>
        </is>
      </c>
      <c r="M1" s="14" t="inlineStr">
        <is>
          <t>hp</t>
        </is>
      </c>
      <c r="N1" s="14" t="inlineStr">
        <is>
          <t>Base HP</t>
        </is>
      </c>
      <c r="O1" s="14" t="inlineStr">
        <is>
          <t xml:space="preserve">contact_damage </t>
        </is>
      </c>
      <c r="P1" s="15" t="inlineStr">
        <is>
          <t>entry_speed</t>
        </is>
      </c>
      <c r="Q1" s="14" t="inlineStr">
        <is>
          <t>speed</t>
        </is>
      </c>
      <c r="R1" s="18" t="inlineStr">
        <is>
          <t>xp_value</t>
        </is>
      </c>
      <c r="S1" s="18" t="inlineStr">
        <is>
          <t>gem_count</t>
        </is>
      </c>
      <c r="T1" s="18" t="inlineStr">
        <is>
          <t>weapon_drop_chance</t>
        </is>
      </c>
      <c r="U1" s="14" t="inlineStr">
        <is>
          <t>fire_interval</t>
        </is>
      </c>
      <c r="V1" s="14" t="inlineStr">
        <is>
          <t>bullet_speed</t>
        </is>
      </c>
      <c r="W1" s="14" t="inlineStr">
        <is>
          <t>shoot_pattern</t>
        </is>
      </c>
      <c r="X1" s="14" t="inlineStr">
        <is>
          <t>enemy_bullet_strength</t>
        </is>
      </c>
      <c r="Y1" s="14" t="inlineStr">
        <is>
          <t>hp_scale</t>
        </is>
      </c>
      <c r="Z1" s="18" t="inlineStr">
        <is>
          <t>damage_scale</t>
        </is>
      </c>
      <c r="AA1" s="17" t="inlineStr">
        <is>
          <t>armor_type</t>
        </is>
      </c>
      <c r="AB1" s="14" t="inlineStr">
        <is>
          <t>Notes</t>
        </is>
      </c>
    </row>
    <row r="2" ht="22.5" customHeight="1" s="70">
      <c r="A2" s="19" t="inlineStr">
        <is>
          <t>enemy_01</t>
        </is>
      </c>
      <c r="B2" s="19" t="n">
        <v>1</v>
      </c>
      <c r="C2" s="19" t="n">
        <v>1</v>
      </c>
      <c r="D2" s="19" t="inlineStr">
        <is>
          <t>fighter</t>
        </is>
      </c>
      <c r="E2" s="19" t="inlineStr">
        <is>
          <t>straight</t>
        </is>
      </c>
      <c r="F2" s="19" t="n"/>
      <c r="G2" s="19" t="n"/>
      <c r="H2" s="19" t="n"/>
      <c r="I2" s="19" t="n"/>
      <c r="J2" s="19" t="inlineStr">
        <is>
          <t>solo</t>
        </is>
      </c>
      <c r="K2" t="n">
        <v>6</v>
      </c>
      <c r="L2" t="n">
        <v>1</v>
      </c>
      <c r="M2" s="19" t="n">
        <v>25</v>
      </c>
      <c r="O2" t="n">
        <v>8</v>
      </c>
      <c r="Q2" t="n">
        <v>180</v>
      </c>
      <c r="R2" t="n">
        <v>8</v>
      </c>
      <c r="S2" t="n">
        <v>1</v>
      </c>
      <c r="T2" t="n">
        <v>0.1</v>
      </c>
      <c r="W2" t="inlineStr">
        <is>
          <t>none</t>
        </is>
      </c>
      <c r="Y2" t="n">
        <v>1.3</v>
      </c>
      <c r="Z2" t="n">
        <v>1.2</v>
      </c>
      <c r="AA2" t="inlineStr">
        <is>
          <t>mechanical</t>
        </is>
      </c>
      <c r="AB2" t="inlineStr">
        <is>
          <t>Fast, fragile, straight-line. Tutorial enemy.</t>
        </is>
      </c>
    </row>
    <row r="3" ht="22.5" customHeight="1" s="70">
      <c r="A3" s="19" t="inlineStr">
        <is>
          <t>enemy_02</t>
        </is>
      </c>
      <c r="B3" s="19" t="n">
        <v>1</v>
      </c>
      <c r="C3" s="19" t="n">
        <v>1</v>
      </c>
      <c r="D3" s="19" t="inlineStr">
        <is>
          <t>fighter</t>
        </is>
      </c>
      <c r="E3" s="19" t="inlineStr">
        <is>
          <t>sine</t>
        </is>
      </c>
      <c r="F3" s="19" t="n">
        <v>60</v>
      </c>
      <c r="G3" s="19" t="n">
        <v>2</v>
      </c>
      <c r="H3" s="19" t="n"/>
      <c r="I3" s="19" t="n"/>
      <c r="J3" s="19" t="inlineStr">
        <is>
          <t>pack</t>
        </is>
      </c>
      <c r="K3" t="n">
        <v>8</v>
      </c>
      <c r="L3" t="n">
        <v>4</v>
      </c>
      <c r="M3" t="n">
        <v>20</v>
      </c>
      <c r="O3" t="n">
        <v>8</v>
      </c>
      <c r="Q3" t="n">
        <v>140</v>
      </c>
      <c r="R3" t="n">
        <v>8</v>
      </c>
      <c r="S3" t="n">
        <v>1</v>
      </c>
      <c r="T3" t="n">
        <v>0.1</v>
      </c>
      <c r="W3" t="inlineStr">
        <is>
          <t>none</t>
        </is>
      </c>
      <c r="Y3" t="n">
        <v>1.3</v>
      </c>
      <c r="Z3" t="n">
        <v>1.2</v>
      </c>
      <c r="AA3" t="inlineStr">
        <is>
          <t>mechanical</t>
        </is>
      </c>
      <c r="AB3" t="inlineStr">
        <is>
          <t>Gentle sine wave. Comes in packs.</t>
        </is>
      </c>
    </row>
    <row r="4" ht="22.5" customHeight="1" s="70">
      <c r="A4" s="19" t="inlineStr">
        <is>
          <t>enemy_03</t>
        </is>
      </c>
      <c r="B4" s="19" t="n">
        <v>1</v>
      </c>
      <c r="C4" s="19" t="n">
        <v>1</v>
      </c>
      <c r="D4" s="19" t="inlineStr">
        <is>
          <t>fighter</t>
        </is>
      </c>
      <c r="E4" s="19" t="inlineStr">
        <is>
          <t>swoop</t>
        </is>
      </c>
      <c r="F4" s="19" t="n">
        <v>80</v>
      </c>
      <c r="G4" s="19" t="n"/>
      <c r="H4" s="19" t="n"/>
      <c r="I4" s="19" t="n"/>
      <c r="J4" s="19" t="inlineStr">
        <is>
          <t>pack</t>
        </is>
      </c>
      <c r="K4" t="n">
        <v>7</v>
      </c>
      <c r="L4" t="n">
        <v>5</v>
      </c>
      <c r="M4" t="n">
        <v>18</v>
      </c>
      <c r="O4" t="n">
        <v>12</v>
      </c>
      <c r="Q4" t="n">
        <v>200</v>
      </c>
      <c r="R4" t="n">
        <v>10</v>
      </c>
      <c r="S4" t="n">
        <v>1</v>
      </c>
      <c r="T4" t="n">
        <v>0.1</v>
      </c>
      <c r="W4" t="inlineStr">
        <is>
          <t>none</t>
        </is>
      </c>
      <c r="Y4" t="n">
        <v>1.3</v>
      </c>
      <c r="Z4" t="n">
        <v>1.2</v>
      </c>
      <c r="AA4" t="inlineStr">
        <is>
          <t>organic</t>
        </is>
      </c>
      <c r="AB4" t="inlineStr">
        <is>
          <t>Curves in from top/bottom toward player lane. movement_type was incorrectly "pack" — fixed to "swoop".</t>
        </is>
      </c>
    </row>
    <row r="5" ht="22.5" customHeight="1" s="70">
      <c r="A5" s="19" t="inlineStr">
        <is>
          <t>enemy_04</t>
        </is>
      </c>
      <c r="B5" s="19" t="n">
        <v>1</v>
      </c>
      <c r="C5" s="19" t="n">
        <v>1</v>
      </c>
      <c r="D5" s="19" t="inlineStr">
        <is>
          <t>elite</t>
        </is>
      </c>
      <c r="E5" s="19" t="inlineStr">
        <is>
          <t>homing</t>
        </is>
      </c>
      <c r="F5" s="19" t="n"/>
      <c r="G5" s="19" t="n"/>
      <c r="H5" s="19" t="n"/>
      <c r="I5" s="19" t="n"/>
      <c r="J5" s="19" t="inlineStr">
        <is>
          <t>solo</t>
        </is>
      </c>
      <c r="K5" t="n">
        <v>3</v>
      </c>
      <c r="L5" t="n">
        <v>1</v>
      </c>
      <c r="M5" t="n">
        <v>60</v>
      </c>
      <c r="O5" t="n">
        <v>20</v>
      </c>
      <c r="Q5" t="n">
        <v>200</v>
      </c>
      <c r="R5" t="n">
        <v>25</v>
      </c>
      <c r="S5" t="n">
        <v>2</v>
      </c>
      <c r="T5" t="n">
        <v>0.15</v>
      </c>
      <c r="W5" t="inlineStr">
        <is>
          <t>none</t>
        </is>
      </c>
      <c r="Y5" t="n">
        <v>1.35</v>
      </c>
      <c r="Z5" t="n">
        <v>1.25</v>
      </c>
      <c r="AA5" t="inlineStr">
        <is>
          <t>shielded</t>
        </is>
      </c>
      <c r="AB5" t="inlineStr">
        <is>
          <t>Elite: high HP, fast, always tracks player.</t>
        </is>
      </c>
    </row>
    <row r="6" ht="22.5" customHeight="1" s="70">
      <c r="A6" s="19" t="inlineStr">
        <is>
          <t>enemy_05</t>
        </is>
      </c>
      <c r="B6" s="19" t="n">
        <v>1</v>
      </c>
      <c r="C6" s="19" t="n">
        <v>2</v>
      </c>
      <c r="D6" s="19" t="inlineStr">
        <is>
          <t>heavy</t>
        </is>
      </c>
      <c r="E6" s="19" t="inlineStr">
        <is>
          <t>stationary</t>
        </is>
      </c>
      <c r="F6" s="19" t="n"/>
      <c r="G6" s="19" t="n"/>
      <c r="H6" s="19" t="n"/>
      <c r="I6" s="19" t="n"/>
      <c r="J6" s="19" t="inlineStr">
        <is>
          <t>solo</t>
        </is>
      </c>
      <c r="K6" t="n">
        <v>3</v>
      </c>
      <c r="L6" t="n">
        <v>1</v>
      </c>
      <c r="M6" t="n">
        <v>80</v>
      </c>
      <c r="O6" t="n">
        <v>5</v>
      </c>
      <c r="Q6" t="n">
        <v>30</v>
      </c>
      <c r="R6" t="n">
        <v>30</v>
      </c>
      <c r="S6" t="n">
        <v>2</v>
      </c>
      <c r="T6" t="n">
        <v>0.15</v>
      </c>
      <c r="U6" t="n">
        <v>2.5</v>
      </c>
      <c r="V6" t="n">
        <v>180</v>
      </c>
      <c r="W6" t="inlineStr">
        <is>
          <t>aimed</t>
        </is>
      </c>
      <c r="X6" t="n">
        <v>12</v>
      </c>
      <c r="Y6" t="n">
        <v>1.35</v>
      </c>
      <c r="Z6" t="n">
        <v>1.2</v>
      </c>
      <c r="AA6" t="inlineStr">
        <is>
          <t>armored</t>
        </is>
      </c>
      <c r="AB6" t="inlineStr">
        <is>
          <t>Slow creep, high HP, fires aimed shots at player.</t>
        </is>
      </c>
    </row>
    <row r="7" ht="22.5" customHeight="1" s="70">
      <c r="A7" s="19" t="inlineStr">
        <is>
          <t>enemy_06</t>
        </is>
      </c>
      <c r="B7" s="19" t="n">
        <v>1</v>
      </c>
      <c r="C7" s="19" t="n">
        <v>2</v>
      </c>
      <c r="D7" s="19" t="inlineStr">
        <is>
          <t>heavy</t>
        </is>
      </c>
      <c r="E7" s="19" t="inlineStr">
        <is>
          <t>dart</t>
        </is>
      </c>
      <c r="F7" s="19" t="n"/>
      <c r="G7" s="19" t="n"/>
      <c r="H7" s="19" t="n">
        <v>2</v>
      </c>
      <c r="I7" s="19" t="n">
        <v>3.5</v>
      </c>
      <c r="J7" s="19" t="inlineStr">
        <is>
          <t>pack</t>
        </is>
      </c>
      <c r="K7" t="n">
        <v>4</v>
      </c>
      <c r="L7" t="n">
        <v>3</v>
      </c>
      <c r="M7" t="n">
        <v>60</v>
      </c>
      <c r="O7" t="n">
        <v>18</v>
      </c>
      <c r="Q7" t="n">
        <v>120</v>
      </c>
      <c r="R7" t="n">
        <v>20</v>
      </c>
      <c r="S7" t="n">
        <v>2</v>
      </c>
      <c r="T7" t="n">
        <v>0.1</v>
      </c>
      <c r="W7" t="inlineStr">
        <is>
          <t>none</t>
        </is>
      </c>
      <c r="Y7" t="n">
        <v>1.35</v>
      </c>
      <c r="Z7" t="n">
        <v>1.2</v>
      </c>
      <c r="AA7" t="inlineStr">
        <is>
          <t>armored</t>
        </is>
      </c>
      <c r="AB7" t="inlineStr">
        <is>
          <t>Slow base speed, periodically lunges at player.</t>
        </is>
      </c>
    </row>
    <row r="8" ht="22.5" customHeight="1" s="70">
      <c r="A8" s="19" t="inlineStr">
        <is>
          <t>enemy_07</t>
        </is>
      </c>
      <c r="B8" s="19" t="n">
        <v>1</v>
      </c>
      <c r="C8" s="19" t="n">
        <v>2</v>
      </c>
      <c r="D8" s="19" t="inlineStr">
        <is>
          <t>fighter</t>
        </is>
      </c>
      <c r="E8" s="19" t="inlineStr">
        <is>
          <t>zigzag</t>
        </is>
      </c>
      <c r="F8" s="19" t="n">
        <v>50</v>
      </c>
      <c r="G8" s="19" t="n"/>
      <c r="H8" s="19" t="n">
        <v>1.5</v>
      </c>
      <c r="I8" s="19" t="n"/>
      <c r="J8" s="19" t="inlineStr">
        <is>
          <t>pack</t>
        </is>
      </c>
      <c r="K8" t="n">
        <v>6</v>
      </c>
      <c r="L8" t="n">
        <v>4</v>
      </c>
      <c r="M8" t="n">
        <v>25</v>
      </c>
      <c r="O8" t="n">
        <v>10</v>
      </c>
      <c r="Q8" t="n">
        <v>160</v>
      </c>
      <c r="R8" t="n">
        <v>12</v>
      </c>
      <c r="S8" t="n">
        <v>1</v>
      </c>
      <c r="T8" t="n">
        <v>0.1</v>
      </c>
      <c r="W8" t="inlineStr">
        <is>
          <t>none</t>
        </is>
      </c>
      <c r="Y8" t="n">
        <v>1.3</v>
      </c>
      <c r="Z8" t="n">
        <v>1.2</v>
      </c>
      <c r="AA8" t="inlineStr">
        <is>
          <t>mechanical</t>
        </is>
      </c>
      <c r="AB8" t="inlineStr">
        <is>
          <t>Sharp angle changes — harder to predict than sine.</t>
        </is>
      </c>
    </row>
    <row r="9" ht="22.5" customHeight="1" s="70">
      <c r="A9" s="19" t="inlineStr">
        <is>
          <t>enemy_08</t>
        </is>
      </c>
      <c r="B9" s="19" t="n">
        <v>1</v>
      </c>
      <c r="C9" s="19" t="n">
        <v>2</v>
      </c>
      <c r="D9" s="19" t="inlineStr">
        <is>
          <t>drone</t>
        </is>
      </c>
      <c r="E9" s="19" t="inlineStr">
        <is>
          <t>homing</t>
        </is>
      </c>
      <c r="F9" s="19" t="n"/>
      <c r="G9" s="19" t="n"/>
      <c r="H9" s="19" t="n"/>
      <c r="I9" s="19" t="n"/>
      <c r="J9" s="19" t="inlineStr">
        <is>
          <t>swarm</t>
        </is>
      </c>
      <c r="K9" t="n">
        <v>10</v>
      </c>
      <c r="L9" t="n">
        <v>8</v>
      </c>
      <c r="M9" t="n">
        <v>8</v>
      </c>
      <c r="O9" t="n">
        <v>15</v>
      </c>
      <c r="Q9" t="n">
        <v>260</v>
      </c>
      <c r="R9" t="n">
        <v>5</v>
      </c>
      <c r="S9" t="n">
        <v>1</v>
      </c>
      <c r="T9" t="n">
        <v>0.05</v>
      </c>
      <c r="W9" t="inlineStr">
        <is>
          <t>none</t>
        </is>
      </c>
      <c r="Y9" t="n">
        <v>1.25</v>
      </c>
      <c r="Z9" t="n">
        <v>1.15</v>
      </c>
      <c r="AA9" t="inlineStr">
        <is>
          <t>organic</t>
        </is>
      </c>
      <c r="AB9" t="inlineStr">
        <is>
          <t>Glass cannon. Very fast, very fragile. Scary in swarms.</t>
        </is>
      </c>
    </row>
    <row r="10" ht="22.5" customHeight="1" s="70">
      <c r="A10" s="19" t="inlineStr">
        <is>
          <t>boss_small_1_a</t>
        </is>
      </c>
      <c r="B10" s="19" t="n">
        <v>1</v>
      </c>
      <c r="C10" s="19" t="n">
        <v>1</v>
      </c>
      <c r="D10" s="19" t="inlineStr">
        <is>
          <t>boss_small</t>
        </is>
      </c>
      <c r="E10" s="19" t="inlineStr">
        <is>
          <t>patrol_v</t>
        </is>
      </c>
      <c r="F10" s="19" t="n"/>
      <c r="G10" s="19" t="n"/>
      <c r="H10" s="19" t="n"/>
      <c r="I10" s="19" t="n"/>
      <c r="J10" s="19" t="inlineStr">
        <is>
          <t>solo</t>
        </is>
      </c>
      <c r="K10" t="n">
        <v>1</v>
      </c>
      <c r="L10" t="n">
        <v>1</v>
      </c>
      <c r="M10" t="n">
        <v>400</v>
      </c>
      <c r="O10" t="n">
        <v>20</v>
      </c>
      <c r="P10" t="n">
        <v>180</v>
      </c>
      <c r="Q10" t="n">
        <v>60</v>
      </c>
      <c r="R10" t="n">
        <v>80</v>
      </c>
      <c r="S10" t="n">
        <v>5</v>
      </c>
      <c r="T10" t="n">
        <v>0</v>
      </c>
      <c r="U10" t="n">
        <v>2.5</v>
      </c>
      <c r="V10" t="n">
        <v>200</v>
      </c>
      <c r="W10" t="inlineStr">
        <is>
          <t>aimed</t>
        </is>
      </c>
      <c r="X10" t="n">
        <v>15</v>
      </c>
      <c r="Y10" t="n">
        <v>1.4</v>
      </c>
      <c r="Z10" t="n">
        <v>1.3</v>
      </c>
      <c r="AA10" t="inlineStr">
        <is>
          <t>mechanical</t>
        </is>
      </c>
      <c r="AB10" t="inlineStr">
        <is>
          <t>L1 small boss. Vertical patrol, aimed shots.</t>
        </is>
      </c>
    </row>
    <row r="11" ht="22.5" customHeight="1" s="70">
      <c r="A11" s="19" t="inlineStr">
        <is>
          <t>boss_small_1_b</t>
        </is>
      </c>
      <c r="B11" s="19" t="n">
        <v>1</v>
      </c>
      <c r="C11" s="19" t="n">
        <v>2</v>
      </c>
      <c r="D11" s="19" t="inlineStr">
        <is>
          <t>boss_small</t>
        </is>
      </c>
      <c r="E11" t="inlineStr">
        <is>
          <t>patrol_v</t>
        </is>
      </c>
      <c r="F11" s="19" t="n"/>
      <c r="G11" s="19" t="n"/>
      <c r="H11" s="19" t="n"/>
      <c r="I11" s="19" t="n"/>
      <c r="J11" s="19" t="inlineStr">
        <is>
          <t>solo</t>
        </is>
      </c>
      <c r="K11" t="n">
        <v>1</v>
      </c>
      <c r="L11" t="n">
        <v>1</v>
      </c>
      <c r="M11" t="n">
        <v>650</v>
      </c>
      <c r="O11" t="n">
        <v>25</v>
      </c>
      <c r="P11" t="n">
        <v>180</v>
      </c>
      <c r="Q11" t="n">
        <v>75</v>
      </c>
      <c r="R11" t="n">
        <v>120</v>
      </c>
      <c r="S11" t="n">
        <v>7</v>
      </c>
      <c r="T11" t="n">
        <v>0</v>
      </c>
      <c r="U11" t="n">
        <v>2</v>
      </c>
      <c r="V11" t="n">
        <v>220</v>
      </c>
      <c r="W11" t="inlineStr">
        <is>
          <t>spread</t>
        </is>
      </c>
      <c r="X11" t="n">
        <v>18</v>
      </c>
      <c r="Y11" t="n">
        <v>1.4</v>
      </c>
      <c r="Z11" t="n">
        <v>1.3</v>
      </c>
      <c r="AA11" t="inlineStr">
        <is>
          <t>armored</t>
        </is>
      </c>
      <c r="AB11" t="inlineStr">
        <is>
          <t>L2 small boss. Tougher, spread shots.</t>
        </is>
      </c>
    </row>
    <row r="12" ht="22.5" customHeight="1" s="70">
      <c r="A12" s="19" t="inlineStr">
        <is>
          <t>boss__big_1</t>
        </is>
      </c>
      <c r="B12" s="19" t="n">
        <v>1</v>
      </c>
      <c r="C12" s="19" t="n">
        <v>3</v>
      </c>
      <c r="D12" s="19" t="inlineStr">
        <is>
          <t>boss_big</t>
        </is>
      </c>
      <c r="E12" s="19" t="inlineStr">
        <is>
          <t>patrol_v</t>
        </is>
      </c>
      <c r="F12" s="19" t="n"/>
      <c r="G12" s="19" t="n"/>
      <c r="H12" s="19" t="n"/>
      <c r="I12" s="19" t="n"/>
      <c r="J12" s="19" t="inlineStr">
        <is>
          <t>solo</t>
        </is>
      </c>
      <c r="K12" t="n">
        <v>1</v>
      </c>
      <c r="L12" t="n">
        <v>1</v>
      </c>
      <c r="M12" t="n">
        <v>1500</v>
      </c>
      <c r="O12" t="n">
        <v>30</v>
      </c>
      <c r="P12" t="n">
        <v>120</v>
      </c>
      <c r="Q12" t="n">
        <v>45</v>
      </c>
      <c r="R12" t="n">
        <v>300</v>
      </c>
      <c r="S12" t="n">
        <v>12</v>
      </c>
      <c r="T12" t="n">
        <v>0</v>
      </c>
      <c r="U12" t="n">
        <v>1.5</v>
      </c>
      <c r="V12" t="n">
        <v>240</v>
      </c>
      <c r="W12" t="inlineStr">
        <is>
          <t>spread</t>
        </is>
      </c>
      <c r="X12" t="n">
        <v>22</v>
      </c>
      <c r="Y12" t="n">
        <v>1.5</v>
      </c>
      <c r="Z12" t="n">
        <v>1.4</v>
      </c>
      <c r="AA12" t="inlineStr">
        <is>
          <t>shielded</t>
        </is>
      </c>
      <c r="AB12" t="inlineStr">
        <is>
          <t>L3 BIG boss. Multi-phase TBD (Phase F). Placeholder values only.</t>
        </is>
      </c>
    </row>
    <row r="13">
      <c r="R13" s="20" t="n"/>
      <c r="S13" s="20" t="n"/>
      <c r="T13" s="20" t="n"/>
    </row>
    <row r="14">
      <c r="R14" s="20" t="n"/>
      <c r="S14" s="20" t="n"/>
      <c r="T14" s="20" t="n"/>
    </row>
    <row r="15">
      <c r="E15" s="21" t="inlineStr">
        <is>
          <t>solo /wave / homing / patrol_v / stationary</t>
        </is>
      </c>
      <c r="R15" s="20" t="n"/>
      <c r="S15" s="20" t="n"/>
      <c r="T15" s="20" t="n"/>
    </row>
    <row r="16">
      <c r="R16" s="20" t="n"/>
      <c r="S16" s="20" t="n"/>
      <c r="T16" s="20" t="n"/>
    </row>
    <row r="17">
      <c r="R17" s="20" t="n"/>
      <c r="S17" s="20" t="n"/>
      <c r="T17" s="20" t="n"/>
    </row>
    <row r="18">
      <c r="R18" s="20" t="n"/>
      <c r="S18" s="20" t="n"/>
      <c r="T18" s="20" t="n"/>
    </row>
    <row r="19">
      <c r="R19" s="20" t="n"/>
      <c r="S19" s="20" t="n"/>
      <c r="T19" s="20" t="n"/>
    </row>
    <row r="20">
      <c r="R20" s="20" t="n"/>
      <c r="S20" s="20" t="n"/>
      <c r="T20" s="20" t="n"/>
    </row>
    <row r="21">
      <c r="R21" s="20" t="n"/>
      <c r="S21" s="20" t="n"/>
      <c r="T21" s="20" t="n"/>
    </row>
    <row r="22">
      <c r="R22" s="20" t="n"/>
      <c r="S22" s="20" t="n"/>
      <c r="T22" s="20" t="n"/>
    </row>
    <row r="23">
      <c r="R23" s="20" t="n"/>
      <c r="S23" s="20" t="n"/>
      <c r="T23" s="20" t="n"/>
    </row>
    <row r="24">
      <c r="R24" s="20" t="n"/>
      <c r="S24" s="20" t="n"/>
      <c r="T24" s="20" t="n"/>
    </row>
    <row r="25">
      <c r="R25" s="20" t="n"/>
      <c r="S25" s="20" t="n"/>
      <c r="T25" s="20" t="n"/>
    </row>
    <row r="26">
      <c r="R26" s="20" t="n"/>
      <c r="S26" s="20" t="n"/>
      <c r="T26" s="20" t="n"/>
    </row>
    <row r="27">
      <c r="R27" s="20" t="n"/>
      <c r="S27" s="20" t="n"/>
      <c r="T27" s="20" t="n"/>
    </row>
    <row r="28">
      <c r="R28" s="20" t="n"/>
      <c r="S28" s="20" t="n"/>
      <c r="T28" s="20" t="n"/>
    </row>
    <row r="29">
      <c r="R29" s="20" t="n"/>
      <c r="S29" s="20" t="n"/>
      <c r="T29" s="20" t="n"/>
    </row>
    <row r="30">
      <c r="R30" s="20" t="n"/>
      <c r="S30" s="20" t="n"/>
      <c r="T30" s="20" t="n"/>
    </row>
    <row r="31">
      <c r="R31" s="20" t="n"/>
      <c r="S31" s="20" t="n"/>
      <c r="T31" s="20" t="n"/>
    </row>
    <row r="32">
      <c r="R32" s="20" t="n"/>
      <c r="S32" s="20" t="n"/>
      <c r="T32" s="20" t="n"/>
    </row>
    <row r="33">
      <c r="R33" s="20" t="n"/>
      <c r="S33" s="20" t="n"/>
      <c r="T33" s="20" t="n"/>
    </row>
    <row r="34">
      <c r="R34" s="20" t="n"/>
      <c r="S34" s="20" t="n"/>
      <c r="T34" s="20" t="n"/>
    </row>
    <row r="35">
      <c r="R35" s="20" t="n"/>
      <c r="S35" s="20" t="n"/>
      <c r="T35" s="20" t="n"/>
    </row>
    <row r="36">
      <c r="R36" s="20" t="n"/>
      <c r="S36" s="20" t="n"/>
      <c r="T36" s="20" t="n"/>
    </row>
    <row r="37">
      <c r="R37" s="20" t="n"/>
      <c r="S37" s="20" t="n"/>
      <c r="T37" s="20" t="n"/>
    </row>
    <row r="38">
      <c r="R38" s="20" t="n"/>
      <c r="S38" s="20" t="n"/>
      <c r="T38" s="20" t="n"/>
    </row>
    <row r="39">
      <c r="R39" s="20" t="n"/>
      <c r="S39" s="20" t="n"/>
      <c r="T39" s="20" t="n"/>
    </row>
    <row r="40">
      <c r="R40" s="20" t="n"/>
      <c r="S40" s="20" t="n"/>
      <c r="T40" s="20" t="n"/>
    </row>
    <row r="41">
      <c r="R41" s="20" t="n"/>
      <c r="S41" s="20" t="n"/>
      <c r="T41" s="20" t="n"/>
    </row>
    <row r="42">
      <c r="R42" s="20" t="n"/>
      <c r="S42" s="20" t="n"/>
      <c r="T42" s="20" t="n"/>
    </row>
    <row r="43">
      <c r="R43" s="20" t="n"/>
      <c r="S43" s="20" t="n"/>
      <c r="T43" s="20" t="n"/>
    </row>
    <row r="44">
      <c r="R44" s="20" t="n"/>
      <c r="S44" s="20" t="n"/>
      <c r="T44" s="20" t="n"/>
    </row>
    <row r="45">
      <c r="R45" s="20" t="n"/>
      <c r="S45" s="20" t="n"/>
      <c r="T45" s="20" t="n"/>
    </row>
    <row r="46">
      <c r="R46" s="20" t="n"/>
      <c r="S46" s="20" t="n"/>
      <c r="T46" s="20" t="n"/>
    </row>
    <row r="47">
      <c r="R47" s="20" t="n"/>
      <c r="S47" s="20" t="n"/>
      <c r="T47" s="20" t="n"/>
    </row>
    <row r="48">
      <c r="R48" s="20" t="n"/>
      <c r="S48" s="20" t="n"/>
      <c r="T48" s="20" t="n"/>
    </row>
    <row r="49">
      <c r="R49" s="20" t="n"/>
      <c r="S49" s="20" t="n"/>
      <c r="T49" s="20" t="n"/>
    </row>
    <row r="50">
      <c r="R50" s="20" t="n"/>
      <c r="S50" s="20" t="n"/>
      <c r="T50" s="20" t="n"/>
    </row>
    <row r="51">
      <c r="R51" s="20" t="n"/>
      <c r="S51" s="20" t="n"/>
      <c r="T51" s="20" t="n"/>
    </row>
    <row r="52">
      <c r="R52" s="20" t="n"/>
      <c r="S52" s="20" t="n"/>
      <c r="T52" s="20" t="n"/>
    </row>
    <row r="53">
      <c r="R53" s="20" t="n"/>
      <c r="S53" s="20" t="n"/>
      <c r="T53" s="20" t="n"/>
    </row>
    <row r="54">
      <c r="R54" s="20" t="n"/>
      <c r="S54" s="20" t="n"/>
      <c r="T54" s="20" t="n"/>
    </row>
    <row r="55">
      <c r="R55" s="20" t="n"/>
      <c r="S55" s="20" t="n"/>
      <c r="T55" s="20" t="n"/>
    </row>
    <row r="56">
      <c r="R56" s="20" t="n"/>
      <c r="S56" s="20" t="n"/>
      <c r="T56" s="20" t="n"/>
    </row>
    <row r="57">
      <c r="R57" s="20" t="n"/>
      <c r="S57" s="20" t="n"/>
      <c r="T57" s="20" t="n"/>
    </row>
    <row r="58">
      <c r="R58" s="20" t="n"/>
      <c r="S58" s="20" t="n"/>
      <c r="T58" s="20" t="n"/>
    </row>
    <row r="59">
      <c r="R59" s="20" t="n"/>
      <c r="S59" s="20" t="n"/>
      <c r="T59" s="20" t="n"/>
    </row>
    <row r="60">
      <c r="R60" s="20" t="n"/>
      <c r="S60" s="20" t="n"/>
      <c r="T60" s="20" t="n"/>
    </row>
    <row r="61">
      <c r="R61" s="20" t="n"/>
      <c r="S61" s="20" t="n"/>
      <c r="T61" s="20" t="n"/>
    </row>
    <row r="62">
      <c r="R62" s="20" t="n"/>
      <c r="S62" s="20" t="n"/>
      <c r="T62" s="20" t="n"/>
    </row>
    <row r="63">
      <c r="R63" s="20" t="n"/>
      <c r="S63" s="20" t="n"/>
      <c r="T63" s="20" t="n"/>
    </row>
    <row r="64">
      <c r="R64" s="20" t="n"/>
      <c r="S64" s="20" t="n"/>
      <c r="T64" s="20" t="n"/>
    </row>
    <row r="65">
      <c r="R65" s="20" t="n"/>
      <c r="S65" s="20" t="n"/>
      <c r="T65" s="20" t="n"/>
    </row>
    <row r="66">
      <c r="R66" s="20" t="n"/>
      <c r="S66" s="20" t="n"/>
      <c r="T66" s="20" t="n"/>
    </row>
    <row r="67">
      <c r="R67" s="20" t="n"/>
      <c r="S67" s="20" t="n"/>
      <c r="T67" s="20" t="n"/>
    </row>
    <row r="68">
      <c r="R68" s="20" t="n"/>
      <c r="S68" s="20" t="n"/>
      <c r="T68" s="20" t="n"/>
    </row>
    <row r="69">
      <c r="R69" s="20" t="n"/>
      <c r="S69" s="20" t="n"/>
      <c r="T69" s="20" t="n"/>
    </row>
    <row r="70">
      <c r="R70" s="20" t="n"/>
      <c r="S70" s="20" t="n"/>
      <c r="T70" s="20" t="n"/>
    </row>
    <row r="71">
      <c r="R71" s="20" t="n"/>
      <c r="S71" s="20" t="n"/>
      <c r="T71" s="20" t="n"/>
    </row>
    <row r="72">
      <c r="R72" s="20" t="n"/>
      <c r="S72" s="20" t="n"/>
      <c r="T72" s="20" t="n"/>
    </row>
    <row r="73">
      <c r="R73" s="20" t="n"/>
      <c r="S73" s="20" t="n"/>
      <c r="T73" s="20" t="n"/>
    </row>
    <row r="74">
      <c r="R74" s="20" t="n"/>
      <c r="S74" s="20" t="n"/>
      <c r="T74" s="20" t="n"/>
    </row>
    <row r="75">
      <c r="R75" s="20" t="n"/>
      <c r="S75" s="20" t="n"/>
      <c r="T75" s="20" t="n"/>
    </row>
    <row r="76">
      <c r="R76" s="20" t="n"/>
      <c r="S76" s="20" t="n"/>
      <c r="T76" s="20" t="n"/>
    </row>
    <row r="77">
      <c r="R77" s="20" t="n"/>
      <c r="S77" s="20" t="n"/>
      <c r="T77" s="20" t="n"/>
    </row>
    <row r="78">
      <c r="R78" s="20" t="n"/>
      <c r="S78" s="20" t="n"/>
      <c r="T78" s="20" t="n"/>
    </row>
    <row r="79">
      <c r="R79" s="20" t="n"/>
      <c r="S79" s="20" t="n"/>
      <c r="T79" s="20" t="n"/>
    </row>
    <row r="80">
      <c r="R80" s="20" t="n"/>
      <c r="S80" s="20" t="n"/>
      <c r="T80" s="20" t="n"/>
    </row>
    <row r="81">
      <c r="R81" s="20" t="n"/>
      <c r="S81" s="20" t="n"/>
      <c r="T81" s="20" t="n"/>
    </row>
    <row r="82">
      <c r="R82" s="20" t="n"/>
      <c r="S82" s="20" t="n"/>
      <c r="T82" s="20" t="n"/>
    </row>
    <row r="83">
      <c r="R83" s="20" t="n"/>
      <c r="S83" s="20" t="n"/>
      <c r="T83" s="20" t="n"/>
    </row>
    <row r="84">
      <c r="R84" s="20" t="n"/>
      <c r="S84" s="20" t="n"/>
      <c r="T84" s="20" t="n"/>
    </row>
    <row r="85">
      <c r="R85" s="20" t="n"/>
      <c r="S85" s="20" t="n"/>
      <c r="T85" s="20" t="n"/>
    </row>
    <row r="86">
      <c r="R86" s="20" t="n"/>
      <c r="S86" s="20" t="n"/>
      <c r="T86" s="20" t="n"/>
    </row>
    <row r="87">
      <c r="R87" s="20" t="n"/>
      <c r="S87" s="20" t="n"/>
      <c r="T87" s="20" t="n"/>
    </row>
    <row r="88">
      <c r="R88" s="20" t="n"/>
      <c r="S88" s="20" t="n"/>
      <c r="T88" s="20" t="n"/>
    </row>
    <row r="89">
      <c r="R89" s="20" t="n"/>
      <c r="S89" s="20" t="n"/>
      <c r="T89" s="20" t="n"/>
    </row>
    <row r="90">
      <c r="R90" s="20" t="n"/>
      <c r="S90" s="20" t="n"/>
      <c r="T90" s="20" t="n"/>
    </row>
    <row r="91">
      <c r="R91" s="20" t="n"/>
      <c r="S91" s="20" t="n"/>
      <c r="T91" s="20" t="n"/>
    </row>
    <row r="92">
      <c r="R92" s="20" t="n"/>
      <c r="S92" s="20" t="n"/>
      <c r="T92" s="20" t="n"/>
    </row>
    <row r="93">
      <c r="R93" s="20" t="n"/>
      <c r="S93" s="20" t="n"/>
      <c r="T93" s="20" t="n"/>
    </row>
    <row r="94">
      <c r="R94" s="20" t="n"/>
      <c r="S94" s="20" t="n"/>
      <c r="T94" s="20" t="n"/>
    </row>
    <row r="95">
      <c r="R95" s="20" t="n"/>
      <c r="S95" s="20" t="n"/>
      <c r="T95" s="20" t="n"/>
    </row>
    <row r="96">
      <c r="R96" s="20" t="n"/>
      <c r="S96" s="20" t="n"/>
      <c r="T96" s="20" t="n"/>
    </row>
    <row r="97">
      <c r="R97" s="20" t="n"/>
      <c r="S97" s="20" t="n"/>
      <c r="T97" s="20" t="n"/>
    </row>
    <row r="98">
      <c r="R98" s="20" t="n"/>
      <c r="S98" s="20" t="n"/>
      <c r="T98" s="20" t="n"/>
    </row>
    <row r="99">
      <c r="R99" s="20" t="n"/>
      <c r="S99" s="20" t="n"/>
      <c r="T99" s="20" t="n"/>
    </row>
    <row r="100">
      <c r="R100" s="20" t="n"/>
      <c r="S100" s="20" t="n"/>
      <c r="T100" s="20" t="n"/>
    </row>
    <row r="101">
      <c r="R101" s="20" t="n"/>
      <c r="S101" s="20" t="n"/>
      <c r="T101" s="20" t="n"/>
    </row>
    <row r="102">
      <c r="R102" s="20" t="n"/>
      <c r="S102" s="20" t="n"/>
      <c r="T102" s="20" t="n"/>
    </row>
    <row r="103">
      <c r="R103" s="20" t="n"/>
      <c r="S103" s="20" t="n"/>
      <c r="T103" s="20" t="n"/>
    </row>
    <row r="104">
      <c r="R104" s="20" t="n"/>
      <c r="S104" s="20" t="n"/>
      <c r="T104" s="20" t="n"/>
    </row>
    <row r="105">
      <c r="R105" s="20" t="n"/>
      <c r="S105" s="20" t="n"/>
      <c r="T105" s="20" t="n"/>
    </row>
    <row r="106">
      <c r="R106" s="20" t="n"/>
      <c r="S106" s="20" t="n"/>
      <c r="T106" s="20" t="n"/>
    </row>
    <row r="107">
      <c r="R107" s="20" t="n"/>
      <c r="S107" s="20" t="n"/>
      <c r="T107" s="20" t="n"/>
    </row>
    <row r="108">
      <c r="R108" s="20" t="n"/>
      <c r="S108" s="20" t="n"/>
      <c r="T108" s="20" t="n"/>
    </row>
    <row r="109">
      <c r="R109" s="20" t="n"/>
      <c r="S109" s="20" t="n"/>
      <c r="T109" s="20" t="n"/>
    </row>
    <row r="110">
      <c r="R110" s="20" t="n"/>
      <c r="S110" s="20" t="n"/>
      <c r="T110" s="20" t="n"/>
    </row>
    <row r="111">
      <c r="R111" s="20" t="n"/>
      <c r="S111" s="20" t="n"/>
      <c r="T111" s="20" t="n"/>
    </row>
    <row r="112">
      <c r="R112" s="20" t="n"/>
      <c r="S112" s="20" t="n"/>
      <c r="T112" s="20" t="n"/>
    </row>
    <row r="113">
      <c r="R113" s="20" t="n"/>
      <c r="S113" s="20" t="n"/>
      <c r="T113" s="20" t="n"/>
    </row>
    <row r="114">
      <c r="R114" s="20" t="n"/>
      <c r="S114" s="20" t="n"/>
      <c r="T114" s="20" t="n"/>
    </row>
    <row r="115">
      <c r="R115" s="20" t="n"/>
      <c r="S115" s="20" t="n"/>
      <c r="T115" s="20" t="n"/>
    </row>
    <row r="116">
      <c r="R116" s="20" t="n"/>
      <c r="S116" s="20" t="n"/>
      <c r="T116" s="20" t="n"/>
    </row>
    <row r="117">
      <c r="R117" s="20" t="n"/>
      <c r="S117" s="20" t="n"/>
      <c r="T117" s="20" t="n"/>
    </row>
    <row r="118">
      <c r="R118" s="20" t="n"/>
      <c r="S118" s="20" t="n"/>
      <c r="T118" s="20" t="n"/>
    </row>
    <row r="119">
      <c r="R119" s="20" t="n"/>
      <c r="S119" s="20" t="n"/>
      <c r="T119" s="20" t="n"/>
    </row>
    <row r="120">
      <c r="R120" s="20" t="n"/>
      <c r="S120" s="20" t="n"/>
      <c r="T120" s="20" t="n"/>
    </row>
    <row r="121">
      <c r="R121" s="20" t="n"/>
      <c r="S121" s="20" t="n"/>
      <c r="T121" s="20" t="n"/>
    </row>
    <row r="122">
      <c r="R122" s="20" t="n"/>
      <c r="S122" s="20" t="n"/>
      <c r="T122" s="20" t="n"/>
    </row>
    <row r="123">
      <c r="R123" s="20" t="n"/>
      <c r="S123" s="20" t="n"/>
      <c r="T123" s="20" t="n"/>
    </row>
    <row r="124">
      <c r="R124" s="20" t="n"/>
      <c r="S124" s="20" t="n"/>
      <c r="T124" s="20" t="n"/>
    </row>
    <row r="125">
      <c r="R125" s="20" t="n"/>
      <c r="S125" s="20" t="n"/>
      <c r="T125" s="20" t="n"/>
    </row>
    <row r="126">
      <c r="R126" s="20" t="n"/>
      <c r="S126" s="20" t="n"/>
      <c r="T126" s="20" t="n"/>
    </row>
    <row r="127">
      <c r="R127" s="20" t="n"/>
      <c r="S127" s="20" t="n"/>
      <c r="T127" s="20" t="n"/>
    </row>
    <row r="128">
      <c r="R128" s="20" t="n"/>
      <c r="S128" s="20" t="n"/>
      <c r="T128" s="20" t="n"/>
    </row>
    <row r="129">
      <c r="R129" s="20" t="n"/>
      <c r="S129" s="20" t="n"/>
      <c r="T129" s="20" t="n"/>
    </row>
    <row r="130">
      <c r="R130" s="20" t="n"/>
      <c r="S130" s="20" t="n"/>
      <c r="T130" s="20" t="n"/>
    </row>
    <row r="131">
      <c r="R131" s="20" t="n"/>
      <c r="S131" s="20" t="n"/>
      <c r="T131" s="20" t="n"/>
    </row>
    <row r="132">
      <c r="R132" s="20" t="n"/>
      <c r="S132" s="20" t="n"/>
      <c r="T132" s="20" t="n"/>
    </row>
    <row r="133">
      <c r="R133" s="20" t="n"/>
      <c r="S133" s="20" t="n"/>
      <c r="T133" s="20" t="n"/>
    </row>
    <row r="134">
      <c r="R134" s="20" t="n"/>
      <c r="S134" s="20" t="n"/>
      <c r="T134" s="20" t="n"/>
    </row>
    <row r="135">
      <c r="R135" s="20" t="n"/>
      <c r="S135" s="20" t="n"/>
      <c r="T135" s="20" t="n"/>
    </row>
    <row r="136">
      <c r="R136" s="20" t="n"/>
      <c r="S136" s="20" t="n"/>
      <c r="T136" s="20" t="n"/>
    </row>
    <row r="137">
      <c r="R137" s="20" t="n"/>
      <c r="S137" s="20" t="n"/>
      <c r="T137" s="20" t="n"/>
    </row>
    <row r="138">
      <c r="R138" s="20" t="n"/>
      <c r="S138" s="20" t="n"/>
      <c r="T138" s="20" t="n"/>
    </row>
    <row r="139">
      <c r="R139" s="20" t="n"/>
      <c r="S139" s="20" t="n"/>
      <c r="T139" s="20" t="n"/>
    </row>
    <row r="140">
      <c r="R140" s="20" t="n"/>
      <c r="S140" s="20" t="n"/>
      <c r="T140" s="20" t="n"/>
    </row>
    <row r="141">
      <c r="R141" s="20" t="n"/>
      <c r="S141" s="20" t="n"/>
      <c r="T141" s="20" t="n"/>
    </row>
    <row r="142">
      <c r="R142" s="20" t="n"/>
      <c r="S142" s="20" t="n"/>
      <c r="T142" s="20" t="n"/>
    </row>
    <row r="143">
      <c r="R143" s="20" t="n"/>
      <c r="S143" s="20" t="n"/>
      <c r="T143" s="20" t="n"/>
    </row>
    <row r="144">
      <c r="R144" s="20" t="n"/>
      <c r="S144" s="20" t="n"/>
      <c r="T144" s="20" t="n"/>
    </row>
    <row r="145">
      <c r="R145" s="20" t="n"/>
      <c r="S145" s="20" t="n"/>
      <c r="T145" s="20" t="n"/>
    </row>
    <row r="146">
      <c r="R146" s="20" t="n"/>
      <c r="S146" s="20" t="n"/>
      <c r="T146" s="20" t="n"/>
    </row>
    <row r="147">
      <c r="R147" s="20" t="n"/>
      <c r="S147" s="20" t="n"/>
      <c r="T147" s="20" t="n"/>
    </row>
    <row r="148">
      <c r="R148" s="20" t="n"/>
      <c r="S148" s="20" t="n"/>
      <c r="T148" s="20" t="n"/>
    </row>
    <row r="149">
      <c r="R149" s="20" t="n"/>
      <c r="S149" s="20" t="n"/>
      <c r="T149" s="20" t="n"/>
    </row>
    <row r="150">
      <c r="R150" s="20" t="n"/>
      <c r="S150" s="20" t="n"/>
      <c r="T150" s="20" t="n"/>
    </row>
    <row r="151">
      <c r="R151" s="20" t="n"/>
      <c r="S151" s="20" t="n"/>
      <c r="T151" s="20" t="n"/>
    </row>
    <row r="152">
      <c r="R152" s="20" t="n"/>
      <c r="S152" s="20" t="n"/>
      <c r="T152" s="20" t="n"/>
    </row>
    <row r="153">
      <c r="R153" s="20" t="n"/>
      <c r="S153" s="20" t="n"/>
      <c r="T153" s="20" t="n"/>
    </row>
    <row r="154">
      <c r="R154" s="20" t="n"/>
      <c r="S154" s="20" t="n"/>
      <c r="T154" s="20" t="n"/>
    </row>
    <row r="155">
      <c r="R155" s="20" t="n"/>
      <c r="S155" s="20" t="n"/>
      <c r="T155" s="20" t="n"/>
    </row>
    <row r="156">
      <c r="R156" s="20" t="n"/>
      <c r="S156" s="20" t="n"/>
      <c r="T156" s="20" t="n"/>
    </row>
    <row r="157">
      <c r="R157" s="20" t="n"/>
      <c r="S157" s="20" t="n"/>
      <c r="T157" s="20" t="n"/>
    </row>
    <row r="158">
      <c r="R158" s="20" t="n"/>
      <c r="S158" s="20" t="n"/>
      <c r="T158" s="20" t="n"/>
    </row>
    <row r="159">
      <c r="R159" s="20" t="n"/>
      <c r="S159" s="20" t="n"/>
      <c r="T159" s="20" t="n"/>
    </row>
    <row r="160">
      <c r="R160" s="20" t="n"/>
      <c r="S160" s="20" t="n"/>
      <c r="T160" s="20" t="n"/>
    </row>
    <row r="161">
      <c r="R161" s="20" t="n"/>
      <c r="S161" s="20" t="n"/>
      <c r="T161" s="20" t="n"/>
    </row>
    <row r="162">
      <c r="R162" s="20" t="n"/>
      <c r="S162" s="20" t="n"/>
      <c r="T162" s="20" t="n"/>
    </row>
    <row r="163">
      <c r="R163" s="20" t="n"/>
      <c r="S163" s="20" t="n"/>
      <c r="T163" s="20" t="n"/>
    </row>
    <row r="164">
      <c r="R164" s="20" t="n"/>
      <c r="S164" s="20" t="n"/>
      <c r="T164" s="20" t="n"/>
    </row>
    <row r="165">
      <c r="R165" s="20" t="n"/>
      <c r="S165" s="20" t="n"/>
      <c r="T165" s="20" t="n"/>
    </row>
    <row r="166">
      <c r="R166" s="20" t="n"/>
      <c r="S166" s="20" t="n"/>
      <c r="T166" s="20" t="n"/>
    </row>
    <row r="167">
      <c r="R167" s="20" t="n"/>
      <c r="S167" s="20" t="n"/>
      <c r="T167" s="20" t="n"/>
    </row>
    <row r="168">
      <c r="R168" s="20" t="n"/>
      <c r="S168" s="20" t="n"/>
      <c r="T168" s="20" t="n"/>
    </row>
    <row r="169">
      <c r="R169" s="20" t="n"/>
      <c r="S169" s="20" t="n"/>
      <c r="T169" s="20" t="n"/>
    </row>
    <row r="170">
      <c r="R170" s="20" t="n"/>
      <c r="S170" s="20" t="n"/>
      <c r="T170" s="20" t="n"/>
    </row>
    <row r="171">
      <c r="R171" s="20" t="n"/>
      <c r="S171" s="20" t="n"/>
      <c r="T171" s="20" t="n"/>
    </row>
    <row r="172">
      <c r="R172" s="20" t="n"/>
      <c r="S172" s="20" t="n"/>
      <c r="T172" s="20" t="n"/>
    </row>
    <row r="173">
      <c r="R173" s="20" t="n"/>
      <c r="S173" s="20" t="n"/>
      <c r="T173" s="20" t="n"/>
    </row>
    <row r="174">
      <c r="R174" s="20" t="n"/>
      <c r="S174" s="20" t="n"/>
      <c r="T174" s="20" t="n"/>
    </row>
    <row r="175">
      <c r="R175" s="20" t="n"/>
      <c r="S175" s="20" t="n"/>
      <c r="T175" s="20" t="n"/>
    </row>
    <row r="176">
      <c r="R176" s="20" t="n"/>
      <c r="S176" s="20" t="n"/>
      <c r="T176" s="20" t="n"/>
    </row>
    <row r="177">
      <c r="R177" s="20" t="n"/>
      <c r="S177" s="20" t="n"/>
      <c r="T177" s="20" t="n"/>
    </row>
    <row r="178">
      <c r="R178" s="20" t="n"/>
      <c r="S178" s="20" t="n"/>
      <c r="T178" s="20" t="n"/>
    </row>
    <row r="179">
      <c r="R179" s="20" t="n"/>
      <c r="S179" s="20" t="n"/>
      <c r="T179" s="20" t="n"/>
    </row>
    <row r="180">
      <c r="R180" s="20" t="n"/>
      <c r="S180" s="20" t="n"/>
      <c r="T180" s="20" t="n"/>
    </row>
    <row r="181">
      <c r="R181" s="20" t="n"/>
      <c r="S181" s="20" t="n"/>
      <c r="T181" s="20" t="n"/>
    </row>
    <row r="182">
      <c r="R182" s="20" t="n"/>
      <c r="S182" s="20" t="n"/>
      <c r="T182" s="20" t="n"/>
    </row>
    <row r="183">
      <c r="R183" s="20" t="n"/>
      <c r="S183" s="20" t="n"/>
      <c r="T183" s="20" t="n"/>
    </row>
    <row r="184">
      <c r="R184" s="20" t="n"/>
      <c r="S184" s="20" t="n"/>
      <c r="T184" s="20" t="n"/>
    </row>
    <row r="185">
      <c r="R185" s="20" t="n"/>
      <c r="S185" s="20" t="n"/>
      <c r="T185" s="20" t="n"/>
    </row>
    <row r="186">
      <c r="R186" s="20" t="n"/>
      <c r="S186" s="20" t="n"/>
      <c r="T186" s="20" t="n"/>
    </row>
    <row r="187">
      <c r="R187" s="20" t="n"/>
      <c r="S187" s="20" t="n"/>
      <c r="T187" s="20" t="n"/>
    </row>
    <row r="188">
      <c r="R188" s="20" t="n"/>
      <c r="S188" s="20" t="n"/>
      <c r="T188" s="20" t="n"/>
    </row>
    <row r="189">
      <c r="R189" s="20" t="n"/>
      <c r="S189" s="20" t="n"/>
      <c r="T189" s="20" t="n"/>
    </row>
    <row r="190">
      <c r="R190" s="20" t="n"/>
      <c r="S190" s="20" t="n"/>
      <c r="T190" s="20" t="n"/>
    </row>
    <row r="191">
      <c r="R191" s="20" t="n"/>
      <c r="S191" s="20" t="n"/>
      <c r="T191" s="20" t="n"/>
    </row>
    <row r="192">
      <c r="R192" s="20" t="n"/>
      <c r="S192" s="20" t="n"/>
      <c r="T192" s="20" t="n"/>
    </row>
    <row r="193">
      <c r="R193" s="20" t="n"/>
      <c r="S193" s="20" t="n"/>
      <c r="T193" s="20" t="n"/>
    </row>
    <row r="194">
      <c r="R194" s="20" t="n"/>
      <c r="S194" s="20" t="n"/>
      <c r="T194" s="20" t="n"/>
    </row>
    <row r="195">
      <c r="R195" s="20" t="n"/>
      <c r="S195" s="20" t="n"/>
      <c r="T195" s="20" t="n"/>
    </row>
    <row r="196">
      <c r="R196" s="20" t="n"/>
      <c r="S196" s="20" t="n"/>
      <c r="T196" s="20" t="n"/>
    </row>
    <row r="197">
      <c r="R197" s="20" t="n"/>
      <c r="S197" s="20" t="n"/>
      <c r="T197" s="20" t="n"/>
    </row>
    <row r="198">
      <c r="R198" s="20" t="n"/>
      <c r="S198" s="20" t="n"/>
      <c r="T198" s="20" t="n"/>
    </row>
    <row r="199">
      <c r="R199" s="20" t="n"/>
      <c r="S199" s="20" t="n"/>
      <c r="T199" s="20" t="n"/>
    </row>
    <row r="200">
      <c r="R200" s="20" t="n"/>
      <c r="S200" s="20" t="n"/>
      <c r="T200" s="20" t="n"/>
    </row>
    <row r="201">
      <c r="R201" s="20" t="n"/>
      <c r="S201" s="20" t="n"/>
      <c r="T201" s="20" t="n"/>
    </row>
    <row r="202">
      <c r="R202" s="20" t="n"/>
      <c r="S202" s="20" t="n"/>
      <c r="T202" s="20" t="n"/>
    </row>
    <row r="203">
      <c r="R203" s="20" t="n"/>
      <c r="S203" s="20" t="n"/>
      <c r="T203" s="20" t="n"/>
    </row>
    <row r="204">
      <c r="R204" s="20" t="n"/>
      <c r="S204" s="20" t="n"/>
      <c r="T204" s="20" t="n"/>
    </row>
    <row r="205">
      <c r="R205" s="20" t="n"/>
      <c r="S205" s="20" t="n"/>
      <c r="T205" s="20" t="n"/>
    </row>
    <row r="206">
      <c r="R206" s="20" t="n"/>
      <c r="S206" s="20" t="n"/>
      <c r="T206" s="20" t="n"/>
    </row>
    <row r="207">
      <c r="R207" s="20" t="n"/>
      <c r="S207" s="20" t="n"/>
      <c r="T207" s="20" t="n"/>
    </row>
    <row r="208">
      <c r="R208" s="20" t="n"/>
      <c r="S208" s="20" t="n"/>
      <c r="T208" s="20" t="n"/>
    </row>
    <row r="209">
      <c r="R209" s="20" t="n"/>
      <c r="S209" s="20" t="n"/>
      <c r="T209" s="20" t="n"/>
    </row>
    <row r="210">
      <c r="R210" s="20" t="n"/>
      <c r="S210" s="20" t="n"/>
      <c r="T210" s="20" t="n"/>
    </row>
    <row r="211">
      <c r="R211" s="20" t="n"/>
      <c r="S211" s="20" t="n"/>
      <c r="T211" s="20" t="n"/>
    </row>
    <row r="212">
      <c r="R212" s="20" t="n"/>
      <c r="S212" s="20" t="n"/>
      <c r="T212" s="20" t="n"/>
    </row>
    <row r="213">
      <c r="R213" s="20" t="n"/>
      <c r="S213" s="20" t="n"/>
      <c r="T213" s="20" t="n"/>
    </row>
    <row r="214">
      <c r="R214" s="20" t="n"/>
      <c r="S214" s="20" t="n"/>
      <c r="T214" s="20" t="n"/>
    </row>
    <row r="215">
      <c r="R215" s="20" t="n"/>
      <c r="S215" s="20" t="n"/>
      <c r="T215" s="20" t="n"/>
    </row>
    <row r="216">
      <c r="R216" s="20" t="n"/>
      <c r="S216" s="20" t="n"/>
      <c r="T216" s="20" t="n"/>
    </row>
    <row r="217">
      <c r="R217" s="20" t="n"/>
      <c r="S217" s="20" t="n"/>
      <c r="T217" s="20" t="n"/>
    </row>
    <row r="218">
      <c r="R218" s="20" t="n"/>
      <c r="S218" s="20" t="n"/>
      <c r="T218" s="20" t="n"/>
    </row>
    <row r="219">
      <c r="R219" s="20" t="n"/>
      <c r="S219" s="20" t="n"/>
      <c r="T219" s="20" t="n"/>
    </row>
    <row r="220">
      <c r="R220" s="20" t="n"/>
      <c r="S220" s="20" t="n"/>
      <c r="T220" s="20" t="n"/>
    </row>
    <row r="221">
      <c r="R221" s="20" t="n"/>
      <c r="S221" s="20" t="n"/>
      <c r="T221" s="20" t="n"/>
    </row>
    <row r="222">
      <c r="R222" s="20" t="n"/>
      <c r="S222" s="20" t="n"/>
      <c r="T222" s="20" t="n"/>
    </row>
    <row r="223">
      <c r="R223" s="20" t="n"/>
      <c r="S223" s="20" t="n"/>
      <c r="T223" s="20" t="n"/>
    </row>
    <row r="224">
      <c r="R224" s="20" t="n"/>
      <c r="S224" s="20" t="n"/>
      <c r="T224" s="20" t="n"/>
    </row>
    <row r="225">
      <c r="R225" s="20" t="n"/>
      <c r="S225" s="20" t="n"/>
      <c r="T225" s="20" t="n"/>
    </row>
    <row r="226">
      <c r="R226" s="20" t="n"/>
      <c r="S226" s="20" t="n"/>
      <c r="T226" s="20" t="n"/>
    </row>
    <row r="227">
      <c r="R227" s="20" t="n"/>
      <c r="S227" s="20" t="n"/>
      <c r="T227" s="20" t="n"/>
    </row>
    <row r="228">
      <c r="R228" s="20" t="n"/>
      <c r="S228" s="20" t="n"/>
      <c r="T228" s="20" t="n"/>
    </row>
    <row r="229">
      <c r="R229" s="20" t="n"/>
      <c r="S229" s="20" t="n"/>
      <c r="T229" s="20" t="n"/>
    </row>
    <row r="230">
      <c r="R230" s="20" t="n"/>
      <c r="S230" s="20" t="n"/>
      <c r="T230" s="20" t="n"/>
    </row>
    <row r="231">
      <c r="R231" s="20" t="n"/>
      <c r="S231" s="20" t="n"/>
      <c r="T231" s="20" t="n"/>
    </row>
    <row r="232">
      <c r="R232" s="20" t="n"/>
      <c r="S232" s="20" t="n"/>
      <c r="T232" s="20" t="n"/>
    </row>
    <row r="233">
      <c r="R233" s="20" t="n"/>
      <c r="S233" s="20" t="n"/>
      <c r="T233" s="20" t="n"/>
    </row>
    <row r="234">
      <c r="R234" s="20" t="n"/>
      <c r="S234" s="20" t="n"/>
      <c r="T234" s="20" t="n"/>
    </row>
    <row r="235">
      <c r="R235" s="20" t="n"/>
      <c r="S235" s="20" t="n"/>
      <c r="T235" s="20" t="n"/>
    </row>
    <row r="236">
      <c r="R236" s="20" t="n"/>
      <c r="S236" s="20" t="n"/>
      <c r="T236" s="20" t="n"/>
    </row>
    <row r="237">
      <c r="R237" s="20" t="n"/>
      <c r="S237" s="20" t="n"/>
      <c r="T237" s="20" t="n"/>
    </row>
    <row r="238">
      <c r="R238" s="20" t="n"/>
      <c r="S238" s="20" t="n"/>
      <c r="T238" s="20" t="n"/>
    </row>
    <row r="239">
      <c r="R239" s="20" t="n"/>
      <c r="S239" s="20" t="n"/>
      <c r="T239" s="20" t="n"/>
    </row>
    <row r="240">
      <c r="R240" s="20" t="n"/>
      <c r="S240" s="20" t="n"/>
      <c r="T240" s="20" t="n"/>
    </row>
    <row r="241">
      <c r="R241" s="20" t="n"/>
      <c r="S241" s="20" t="n"/>
      <c r="T241" s="20" t="n"/>
    </row>
    <row r="242">
      <c r="R242" s="20" t="n"/>
      <c r="S242" s="20" t="n"/>
      <c r="T242" s="20" t="n"/>
    </row>
    <row r="243">
      <c r="R243" s="20" t="n"/>
      <c r="S243" s="20" t="n"/>
      <c r="T243" s="20" t="n"/>
    </row>
    <row r="244">
      <c r="R244" s="20" t="n"/>
      <c r="S244" s="20" t="n"/>
      <c r="T244" s="20" t="n"/>
    </row>
    <row r="245">
      <c r="R245" s="20" t="n"/>
      <c r="S245" s="20" t="n"/>
      <c r="T245" s="20" t="n"/>
    </row>
    <row r="246">
      <c r="R246" s="20" t="n"/>
      <c r="S246" s="20" t="n"/>
      <c r="T246" s="20" t="n"/>
    </row>
    <row r="247">
      <c r="R247" s="20" t="n"/>
      <c r="S247" s="20" t="n"/>
      <c r="T247" s="20" t="n"/>
    </row>
    <row r="248">
      <c r="R248" s="20" t="n"/>
      <c r="S248" s="20" t="n"/>
      <c r="T248" s="20" t="n"/>
    </row>
    <row r="249">
      <c r="R249" s="20" t="n"/>
      <c r="S249" s="20" t="n"/>
      <c r="T249" s="20" t="n"/>
    </row>
    <row r="250">
      <c r="R250" s="20" t="n"/>
      <c r="S250" s="20" t="n"/>
      <c r="T250" s="20" t="n"/>
    </row>
    <row r="251">
      <c r="R251" s="20" t="n"/>
      <c r="S251" s="20" t="n"/>
      <c r="T251" s="20" t="n"/>
    </row>
    <row r="252">
      <c r="R252" s="20" t="n"/>
      <c r="S252" s="20" t="n"/>
      <c r="T252" s="20" t="n"/>
    </row>
    <row r="253">
      <c r="R253" s="20" t="n"/>
      <c r="S253" s="20" t="n"/>
      <c r="T253" s="20" t="n"/>
    </row>
    <row r="254">
      <c r="R254" s="20" t="n"/>
      <c r="S254" s="20" t="n"/>
      <c r="T254" s="20" t="n"/>
    </row>
    <row r="255">
      <c r="R255" s="20" t="n"/>
      <c r="S255" s="20" t="n"/>
      <c r="T255" s="20" t="n"/>
    </row>
    <row r="256">
      <c r="R256" s="20" t="n"/>
      <c r="S256" s="20" t="n"/>
      <c r="T256" s="20" t="n"/>
    </row>
    <row r="257">
      <c r="R257" s="20" t="n"/>
      <c r="S257" s="20" t="n"/>
      <c r="T257" s="20" t="n"/>
    </row>
    <row r="258">
      <c r="R258" s="20" t="n"/>
      <c r="S258" s="20" t="n"/>
      <c r="T258" s="20" t="n"/>
    </row>
    <row r="259">
      <c r="R259" s="20" t="n"/>
      <c r="S259" s="20" t="n"/>
      <c r="T259" s="20" t="n"/>
    </row>
    <row r="260">
      <c r="R260" s="20" t="n"/>
      <c r="S260" s="20" t="n"/>
      <c r="T260" s="20" t="n"/>
    </row>
    <row r="261">
      <c r="R261" s="20" t="n"/>
      <c r="S261" s="20" t="n"/>
      <c r="T261" s="20" t="n"/>
    </row>
    <row r="262">
      <c r="R262" s="20" t="n"/>
      <c r="S262" s="20" t="n"/>
      <c r="T262" s="20" t="n"/>
    </row>
    <row r="263">
      <c r="R263" s="20" t="n"/>
      <c r="S263" s="20" t="n"/>
      <c r="T263" s="20" t="n"/>
    </row>
    <row r="264">
      <c r="R264" s="20" t="n"/>
      <c r="S264" s="20" t="n"/>
      <c r="T264" s="20" t="n"/>
    </row>
    <row r="265">
      <c r="R265" s="20" t="n"/>
      <c r="S265" s="20" t="n"/>
      <c r="T265" s="20" t="n"/>
    </row>
    <row r="266">
      <c r="R266" s="20" t="n"/>
      <c r="S266" s="20" t="n"/>
      <c r="T266" s="20" t="n"/>
    </row>
    <row r="267">
      <c r="R267" s="20" t="n"/>
      <c r="S267" s="20" t="n"/>
      <c r="T267" s="20" t="n"/>
    </row>
    <row r="268">
      <c r="R268" s="20" t="n"/>
      <c r="S268" s="20" t="n"/>
      <c r="T268" s="20" t="n"/>
    </row>
    <row r="269">
      <c r="R269" s="20" t="n"/>
      <c r="S269" s="20" t="n"/>
      <c r="T269" s="20" t="n"/>
    </row>
    <row r="270">
      <c r="R270" s="20" t="n"/>
      <c r="S270" s="20" t="n"/>
      <c r="T270" s="20" t="n"/>
    </row>
    <row r="271">
      <c r="R271" s="20" t="n"/>
      <c r="S271" s="20" t="n"/>
      <c r="T271" s="20" t="n"/>
    </row>
    <row r="272">
      <c r="R272" s="20" t="n"/>
      <c r="S272" s="20" t="n"/>
      <c r="T272" s="20" t="n"/>
    </row>
    <row r="273">
      <c r="R273" s="20" t="n"/>
      <c r="S273" s="20" t="n"/>
      <c r="T273" s="20" t="n"/>
    </row>
    <row r="274">
      <c r="R274" s="20" t="n"/>
      <c r="S274" s="20" t="n"/>
      <c r="T274" s="20" t="n"/>
    </row>
    <row r="275">
      <c r="R275" s="20" t="n"/>
      <c r="S275" s="20" t="n"/>
      <c r="T275" s="20" t="n"/>
    </row>
    <row r="276">
      <c r="R276" s="20" t="n"/>
      <c r="S276" s="20" t="n"/>
      <c r="T276" s="20" t="n"/>
    </row>
    <row r="277">
      <c r="R277" s="20" t="n"/>
      <c r="S277" s="20" t="n"/>
      <c r="T277" s="20" t="n"/>
    </row>
    <row r="278">
      <c r="R278" s="20" t="n"/>
      <c r="S278" s="20" t="n"/>
      <c r="T278" s="20" t="n"/>
    </row>
    <row r="279">
      <c r="R279" s="20" t="n"/>
      <c r="S279" s="20" t="n"/>
      <c r="T279" s="20" t="n"/>
    </row>
    <row r="280">
      <c r="R280" s="20" t="n"/>
      <c r="S280" s="20" t="n"/>
      <c r="T280" s="20" t="n"/>
    </row>
    <row r="281">
      <c r="R281" s="20" t="n"/>
      <c r="S281" s="20" t="n"/>
      <c r="T281" s="20" t="n"/>
    </row>
    <row r="282">
      <c r="R282" s="20" t="n"/>
      <c r="S282" s="20" t="n"/>
      <c r="T282" s="20" t="n"/>
    </row>
    <row r="283">
      <c r="R283" s="20" t="n"/>
      <c r="S283" s="20" t="n"/>
      <c r="T283" s="20" t="n"/>
    </row>
    <row r="284">
      <c r="R284" s="20" t="n"/>
      <c r="S284" s="20" t="n"/>
      <c r="T284" s="20" t="n"/>
    </row>
    <row r="285">
      <c r="R285" s="20" t="n"/>
      <c r="S285" s="20" t="n"/>
      <c r="T285" s="20" t="n"/>
    </row>
    <row r="286">
      <c r="R286" s="20" t="n"/>
      <c r="S286" s="20" t="n"/>
      <c r="T286" s="20" t="n"/>
    </row>
    <row r="287">
      <c r="R287" s="20" t="n"/>
      <c r="S287" s="20" t="n"/>
      <c r="T287" s="20" t="n"/>
    </row>
    <row r="288">
      <c r="R288" s="20" t="n"/>
      <c r="S288" s="20" t="n"/>
      <c r="T288" s="20" t="n"/>
    </row>
    <row r="289">
      <c r="R289" s="20" t="n"/>
      <c r="S289" s="20" t="n"/>
      <c r="T289" s="20" t="n"/>
    </row>
    <row r="290">
      <c r="R290" s="20" t="n"/>
      <c r="S290" s="20" t="n"/>
      <c r="T290" s="20" t="n"/>
    </row>
    <row r="291">
      <c r="R291" s="20" t="n"/>
      <c r="S291" s="20" t="n"/>
      <c r="T291" s="20" t="n"/>
    </row>
    <row r="292">
      <c r="R292" s="20" t="n"/>
      <c r="S292" s="20" t="n"/>
      <c r="T292" s="20" t="n"/>
    </row>
    <row r="293">
      <c r="R293" s="20" t="n"/>
      <c r="S293" s="20" t="n"/>
      <c r="T293" s="20" t="n"/>
    </row>
    <row r="294">
      <c r="R294" s="20" t="n"/>
      <c r="S294" s="20" t="n"/>
      <c r="T294" s="20" t="n"/>
    </row>
    <row r="295">
      <c r="R295" s="20" t="n"/>
      <c r="S295" s="20" t="n"/>
      <c r="T295" s="20" t="n"/>
    </row>
    <row r="296">
      <c r="R296" s="20" t="n"/>
      <c r="S296" s="20" t="n"/>
      <c r="T296" s="20" t="n"/>
    </row>
    <row r="297">
      <c r="R297" s="20" t="n"/>
      <c r="S297" s="20" t="n"/>
      <c r="T297" s="20" t="n"/>
    </row>
    <row r="298">
      <c r="R298" s="20" t="n"/>
      <c r="S298" s="20" t="n"/>
      <c r="T298" s="20" t="n"/>
    </row>
    <row r="299">
      <c r="R299" s="20" t="n"/>
      <c r="S299" s="20" t="n"/>
      <c r="T299" s="20" t="n"/>
    </row>
    <row r="300">
      <c r="R300" s="20" t="n"/>
      <c r="S300" s="20" t="n"/>
      <c r="T300" s="20" t="n"/>
    </row>
    <row r="301">
      <c r="R301" s="20" t="n"/>
      <c r="S301" s="20" t="n"/>
      <c r="T301" s="20" t="n"/>
    </row>
    <row r="302">
      <c r="R302" s="20" t="n"/>
      <c r="S302" s="20" t="n"/>
      <c r="T302" s="20" t="n"/>
    </row>
    <row r="303">
      <c r="R303" s="20" t="n"/>
      <c r="S303" s="20" t="n"/>
      <c r="T303" s="20" t="n"/>
    </row>
    <row r="304">
      <c r="R304" s="20" t="n"/>
      <c r="S304" s="20" t="n"/>
      <c r="T304" s="20" t="n"/>
    </row>
    <row r="305">
      <c r="R305" s="20" t="n"/>
      <c r="S305" s="20" t="n"/>
      <c r="T305" s="20" t="n"/>
    </row>
    <row r="306">
      <c r="R306" s="20" t="n"/>
      <c r="S306" s="20" t="n"/>
      <c r="T306" s="20" t="n"/>
    </row>
    <row r="307">
      <c r="R307" s="20" t="n"/>
      <c r="S307" s="20" t="n"/>
      <c r="T307" s="20" t="n"/>
    </row>
    <row r="308">
      <c r="R308" s="20" t="n"/>
      <c r="S308" s="20" t="n"/>
      <c r="T308" s="20" t="n"/>
    </row>
    <row r="309">
      <c r="R309" s="20" t="n"/>
      <c r="S309" s="20" t="n"/>
      <c r="T309" s="20" t="n"/>
    </row>
    <row r="310">
      <c r="R310" s="20" t="n"/>
      <c r="S310" s="20" t="n"/>
      <c r="T310" s="20" t="n"/>
    </row>
    <row r="311">
      <c r="R311" s="20" t="n"/>
      <c r="S311" s="20" t="n"/>
      <c r="T311" s="20" t="n"/>
    </row>
    <row r="312">
      <c r="R312" s="20" t="n"/>
      <c r="S312" s="20" t="n"/>
      <c r="T312" s="20" t="n"/>
    </row>
    <row r="313">
      <c r="R313" s="20" t="n"/>
      <c r="S313" s="20" t="n"/>
      <c r="T313" s="20" t="n"/>
    </row>
    <row r="314">
      <c r="R314" s="20" t="n"/>
      <c r="S314" s="20" t="n"/>
      <c r="T314" s="20" t="n"/>
    </row>
    <row r="315">
      <c r="R315" s="20" t="n"/>
      <c r="S315" s="20" t="n"/>
      <c r="T315" s="20" t="n"/>
    </row>
    <row r="316">
      <c r="R316" s="20" t="n"/>
      <c r="S316" s="20" t="n"/>
      <c r="T316" s="20" t="n"/>
    </row>
    <row r="317">
      <c r="R317" s="20" t="n"/>
      <c r="S317" s="20" t="n"/>
      <c r="T317" s="20" t="n"/>
    </row>
    <row r="318">
      <c r="R318" s="20" t="n"/>
      <c r="S318" s="20" t="n"/>
      <c r="T318" s="20" t="n"/>
    </row>
    <row r="319">
      <c r="R319" s="20" t="n"/>
      <c r="S319" s="20" t="n"/>
      <c r="T319" s="20" t="n"/>
    </row>
    <row r="320">
      <c r="R320" s="20" t="n"/>
      <c r="S320" s="20" t="n"/>
      <c r="T320" s="20" t="n"/>
    </row>
    <row r="321">
      <c r="R321" s="20" t="n"/>
      <c r="S321" s="20" t="n"/>
      <c r="T321" s="20" t="n"/>
    </row>
    <row r="322">
      <c r="R322" s="20" t="n"/>
      <c r="S322" s="20" t="n"/>
      <c r="T322" s="20" t="n"/>
    </row>
    <row r="323">
      <c r="R323" s="20" t="n"/>
      <c r="S323" s="20" t="n"/>
      <c r="T323" s="20" t="n"/>
    </row>
    <row r="324">
      <c r="R324" s="20" t="n"/>
      <c r="S324" s="20" t="n"/>
      <c r="T324" s="20" t="n"/>
    </row>
    <row r="325">
      <c r="R325" s="20" t="n"/>
      <c r="S325" s="20" t="n"/>
      <c r="T325" s="20" t="n"/>
    </row>
    <row r="326">
      <c r="R326" s="20" t="n"/>
      <c r="S326" s="20" t="n"/>
      <c r="T326" s="20" t="n"/>
    </row>
    <row r="327">
      <c r="R327" s="20" t="n"/>
      <c r="S327" s="20" t="n"/>
      <c r="T327" s="20" t="n"/>
    </row>
    <row r="328">
      <c r="R328" s="20" t="n"/>
      <c r="S328" s="20" t="n"/>
      <c r="T328" s="20" t="n"/>
    </row>
    <row r="329">
      <c r="R329" s="20" t="n"/>
      <c r="S329" s="20" t="n"/>
      <c r="T329" s="20" t="n"/>
    </row>
    <row r="330">
      <c r="R330" s="20" t="n"/>
      <c r="S330" s="20" t="n"/>
      <c r="T330" s="20" t="n"/>
    </row>
    <row r="331">
      <c r="R331" s="20" t="n"/>
      <c r="S331" s="20" t="n"/>
      <c r="T331" s="20" t="n"/>
    </row>
    <row r="332">
      <c r="R332" s="20" t="n"/>
      <c r="S332" s="20" t="n"/>
      <c r="T332" s="20" t="n"/>
    </row>
    <row r="333">
      <c r="R333" s="20" t="n"/>
      <c r="S333" s="20" t="n"/>
      <c r="T333" s="20" t="n"/>
    </row>
    <row r="334">
      <c r="R334" s="20" t="n"/>
      <c r="S334" s="20" t="n"/>
      <c r="T334" s="20" t="n"/>
    </row>
    <row r="335">
      <c r="R335" s="20" t="n"/>
      <c r="S335" s="20" t="n"/>
      <c r="T335" s="20" t="n"/>
    </row>
    <row r="336">
      <c r="R336" s="20" t="n"/>
      <c r="S336" s="20" t="n"/>
      <c r="T336" s="20" t="n"/>
    </row>
    <row r="337">
      <c r="R337" s="20" t="n"/>
      <c r="S337" s="20" t="n"/>
      <c r="T337" s="20" t="n"/>
    </row>
    <row r="338">
      <c r="R338" s="20" t="n"/>
      <c r="S338" s="20" t="n"/>
      <c r="T338" s="20" t="n"/>
    </row>
    <row r="339">
      <c r="R339" s="20" t="n"/>
      <c r="S339" s="20" t="n"/>
      <c r="T339" s="20" t="n"/>
    </row>
    <row r="340">
      <c r="R340" s="20" t="n"/>
      <c r="S340" s="20" t="n"/>
      <c r="T340" s="20" t="n"/>
    </row>
    <row r="341">
      <c r="R341" s="20" t="n"/>
      <c r="S341" s="20" t="n"/>
      <c r="T341" s="20" t="n"/>
    </row>
    <row r="342">
      <c r="R342" s="20" t="n"/>
      <c r="S342" s="20" t="n"/>
      <c r="T342" s="20" t="n"/>
    </row>
    <row r="343">
      <c r="R343" s="20" t="n"/>
      <c r="S343" s="20" t="n"/>
      <c r="T343" s="20" t="n"/>
    </row>
    <row r="344">
      <c r="R344" s="20" t="n"/>
      <c r="S344" s="20" t="n"/>
      <c r="T344" s="20" t="n"/>
    </row>
    <row r="345">
      <c r="R345" s="20" t="n"/>
      <c r="S345" s="20" t="n"/>
      <c r="T345" s="20" t="n"/>
    </row>
    <row r="346">
      <c r="R346" s="20" t="n"/>
      <c r="S346" s="20" t="n"/>
      <c r="T346" s="20" t="n"/>
    </row>
    <row r="347">
      <c r="R347" s="20" t="n"/>
      <c r="S347" s="20" t="n"/>
      <c r="T347" s="20" t="n"/>
    </row>
    <row r="348">
      <c r="R348" s="20" t="n"/>
      <c r="S348" s="20" t="n"/>
      <c r="T348" s="20" t="n"/>
    </row>
    <row r="349">
      <c r="R349" s="20" t="n"/>
      <c r="S349" s="20" t="n"/>
      <c r="T349" s="20" t="n"/>
    </row>
    <row r="350">
      <c r="R350" s="20" t="n"/>
      <c r="S350" s="20" t="n"/>
      <c r="T350" s="20" t="n"/>
    </row>
    <row r="351">
      <c r="R351" s="20" t="n"/>
      <c r="S351" s="20" t="n"/>
      <c r="T351" s="20" t="n"/>
    </row>
    <row r="352">
      <c r="R352" s="20" t="n"/>
      <c r="S352" s="20" t="n"/>
      <c r="T352" s="20" t="n"/>
    </row>
    <row r="353">
      <c r="R353" s="20" t="n"/>
      <c r="S353" s="20" t="n"/>
      <c r="T353" s="20" t="n"/>
    </row>
    <row r="354">
      <c r="R354" s="20" t="n"/>
      <c r="S354" s="20" t="n"/>
      <c r="T354" s="20" t="n"/>
    </row>
    <row r="355">
      <c r="R355" s="20" t="n"/>
      <c r="S355" s="20" t="n"/>
      <c r="T355" s="20" t="n"/>
    </row>
    <row r="356">
      <c r="R356" s="20" t="n"/>
      <c r="S356" s="20" t="n"/>
      <c r="T356" s="20" t="n"/>
    </row>
    <row r="357">
      <c r="R357" s="20" t="n"/>
      <c r="S357" s="20" t="n"/>
      <c r="T357" s="20" t="n"/>
    </row>
    <row r="358">
      <c r="R358" s="20" t="n"/>
      <c r="S358" s="20" t="n"/>
      <c r="T358" s="20" t="n"/>
    </row>
    <row r="359">
      <c r="R359" s="20" t="n"/>
      <c r="S359" s="20" t="n"/>
      <c r="T359" s="20" t="n"/>
    </row>
    <row r="360">
      <c r="R360" s="20" t="n"/>
      <c r="S360" s="20" t="n"/>
      <c r="T360" s="20" t="n"/>
    </row>
    <row r="361">
      <c r="R361" s="20" t="n"/>
      <c r="S361" s="20" t="n"/>
      <c r="T361" s="20" t="n"/>
    </row>
    <row r="362">
      <c r="R362" s="20" t="n"/>
      <c r="S362" s="20" t="n"/>
      <c r="T362" s="20" t="n"/>
    </row>
    <row r="363">
      <c r="R363" s="20" t="n"/>
      <c r="S363" s="20" t="n"/>
      <c r="T363" s="20" t="n"/>
    </row>
    <row r="364">
      <c r="R364" s="20" t="n"/>
      <c r="S364" s="20" t="n"/>
      <c r="T364" s="20" t="n"/>
    </row>
    <row r="365">
      <c r="R365" s="20" t="n"/>
      <c r="S365" s="20" t="n"/>
      <c r="T365" s="20" t="n"/>
    </row>
    <row r="366">
      <c r="R366" s="20" t="n"/>
      <c r="S366" s="20" t="n"/>
      <c r="T366" s="20" t="n"/>
    </row>
    <row r="367">
      <c r="R367" s="20" t="n"/>
      <c r="S367" s="20" t="n"/>
      <c r="T367" s="20" t="n"/>
    </row>
    <row r="368">
      <c r="R368" s="20" t="n"/>
      <c r="S368" s="20" t="n"/>
      <c r="T368" s="20" t="n"/>
    </row>
    <row r="369">
      <c r="R369" s="20" t="n"/>
      <c r="S369" s="20" t="n"/>
      <c r="T369" s="20" t="n"/>
    </row>
    <row r="370">
      <c r="R370" s="20" t="n"/>
      <c r="S370" s="20" t="n"/>
      <c r="T370" s="20" t="n"/>
    </row>
    <row r="371">
      <c r="R371" s="20" t="n"/>
      <c r="S371" s="20" t="n"/>
      <c r="T371" s="20" t="n"/>
    </row>
    <row r="372">
      <c r="R372" s="20" t="n"/>
      <c r="S372" s="20" t="n"/>
      <c r="T372" s="20" t="n"/>
    </row>
    <row r="373">
      <c r="R373" s="20" t="n"/>
      <c r="S373" s="20" t="n"/>
      <c r="T373" s="20" t="n"/>
    </row>
    <row r="374">
      <c r="R374" s="20" t="n"/>
      <c r="S374" s="20" t="n"/>
      <c r="T374" s="20" t="n"/>
    </row>
    <row r="375">
      <c r="R375" s="20" t="n"/>
      <c r="S375" s="20" t="n"/>
      <c r="T375" s="20" t="n"/>
    </row>
    <row r="376">
      <c r="R376" s="20" t="n"/>
      <c r="S376" s="20" t="n"/>
      <c r="T376" s="20" t="n"/>
    </row>
    <row r="377">
      <c r="R377" s="20" t="n"/>
      <c r="S377" s="20" t="n"/>
      <c r="T377" s="20" t="n"/>
    </row>
    <row r="378">
      <c r="R378" s="20" t="n"/>
      <c r="S378" s="20" t="n"/>
      <c r="T378" s="20" t="n"/>
    </row>
    <row r="379">
      <c r="R379" s="20" t="n"/>
      <c r="S379" s="20" t="n"/>
      <c r="T379" s="20" t="n"/>
    </row>
    <row r="380">
      <c r="R380" s="20" t="n"/>
      <c r="S380" s="20" t="n"/>
      <c r="T380" s="20" t="n"/>
    </row>
    <row r="381">
      <c r="R381" s="20" t="n"/>
      <c r="S381" s="20" t="n"/>
      <c r="T381" s="20" t="n"/>
    </row>
    <row r="382">
      <c r="R382" s="20" t="n"/>
      <c r="S382" s="20" t="n"/>
      <c r="T382" s="20" t="n"/>
    </row>
    <row r="383">
      <c r="R383" s="20" t="n"/>
      <c r="S383" s="20" t="n"/>
      <c r="T383" s="20" t="n"/>
    </row>
    <row r="384">
      <c r="R384" s="20" t="n"/>
      <c r="S384" s="20" t="n"/>
      <c r="T384" s="20" t="n"/>
    </row>
    <row r="385">
      <c r="R385" s="20" t="n"/>
      <c r="S385" s="20" t="n"/>
      <c r="T385" s="20" t="n"/>
    </row>
    <row r="386">
      <c r="R386" s="20" t="n"/>
      <c r="S386" s="20" t="n"/>
      <c r="T386" s="20" t="n"/>
    </row>
    <row r="387">
      <c r="R387" s="20" t="n"/>
      <c r="S387" s="20" t="n"/>
      <c r="T387" s="20" t="n"/>
    </row>
    <row r="388">
      <c r="R388" s="20" t="n"/>
      <c r="S388" s="20" t="n"/>
      <c r="T388" s="20" t="n"/>
    </row>
    <row r="389">
      <c r="R389" s="20" t="n"/>
      <c r="S389" s="20" t="n"/>
      <c r="T389" s="20" t="n"/>
    </row>
    <row r="390">
      <c r="R390" s="20" t="n"/>
      <c r="S390" s="20" t="n"/>
      <c r="T390" s="20" t="n"/>
    </row>
    <row r="391">
      <c r="R391" s="20" t="n"/>
      <c r="S391" s="20" t="n"/>
      <c r="T391" s="20" t="n"/>
    </row>
    <row r="392">
      <c r="R392" s="20" t="n"/>
      <c r="S392" s="20" t="n"/>
      <c r="T392" s="20" t="n"/>
    </row>
    <row r="393">
      <c r="R393" s="20" t="n"/>
      <c r="S393" s="20" t="n"/>
      <c r="T393" s="20" t="n"/>
    </row>
    <row r="394">
      <c r="R394" s="20" t="n"/>
      <c r="S394" s="20" t="n"/>
      <c r="T394" s="20" t="n"/>
    </row>
    <row r="395">
      <c r="R395" s="20" t="n"/>
      <c r="S395" s="20" t="n"/>
      <c r="T395" s="20" t="n"/>
    </row>
    <row r="396">
      <c r="R396" s="20" t="n"/>
      <c r="S396" s="20" t="n"/>
      <c r="T396" s="20" t="n"/>
    </row>
    <row r="397">
      <c r="R397" s="20" t="n"/>
      <c r="S397" s="20" t="n"/>
      <c r="T397" s="20" t="n"/>
    </row>
    <row r="398">
      <c r="R398" s="20" t="n"/>
      <c r="S398" s="20" t="n"/>
      <c r="T398" s="20" t="n"/>
    </row>
    <row r="399">
      <c r="R399" s="20" t="n"/>
      <c r="S399" s="20" t="n"/>
      <c r="T399" s="20" t="n"/>
    </row>
    <row r="400">
      <c r="R400" s="20" t="n"/>
      <c r="S400" s="20" t="n"/>
      <c r="T400" s="20" t="n"/>
    </row>
    <row r="401">
      <c r="R401" s="20" t="n"/>
      <c r="S401" s="20" t="n"/>
      <c r="T401" s="20" t="n"/>
    </row>
    <row r="402">
      <c r="R402" s="20" t="n"/>
      <c r="S402" s="20" t="n"/>
      <c r="T402" s="20" t="n"/>
    </row>
    <row r="403">
      <c r="R403" s="20" t="n"/>
      <c r="S403" s="20" t="n"/>
      <c r="T403" s="20" t="n"/>
    </row>
    <row r="404">
      <c r="R404" s="20" t="n"/>
      <c r="S404" s="20" t="n"/>
      <c r="T404" s="20" t="n"/>
    </row>
    <row r="405">
      <c r="R405" s="20" t="n"/>
      <c r="S405" s="20" t="n"/>
      <c r="T405" s="20" t="n"/>
    </row>
    <row r="406">
      <c r="R406" s="20" t="n"/>
      <c r="S406" s="20" t="n"/>
      <c r="T406" s="20" t="n"/>
    </row>
    <row r="407">
      <c r="R407" s="20" t="n"/>
      <c r="S407" s="20" t="n"/>
      <c r="T407" s="20" t="n"/>
    </row>
    <row r="408">
      <c r="R408" s="20" t="n"/>
      <c r="S408" s="20" t="n"/>
      <c r="T408" s="20" t="n"/>
    </row>
    <row r="409">
      <c r="R409" s="20" t="n"/>
      <c r="S409" s="20" t="n"/>
      <c r="T409" s="20" t="n"/>
    </row>
    <row r="410">
      <c r="R410" s="20" t="n"/>
      <c r="S410" s="20" t="n"/>
      <c r="T410" s="20" t="n"/>
    </row>
    <row r="411">
      <c r="R411" s="20" t="n"/>
      <c r="S411" s="20" t="n"/>
      <c r="T411" s="20" t="n"/>
    </row>
    <row r="412">
      <c r="R412" s="20" t="n"/>
      <c r="S412" s="20" t="n"/>
      <c r="T412" s="20" t="n"/>
    </row>
    <row r="413">
      <c r="R413" s="20" t="n"/>
      <c r="S413" s="20" t="n"/>
      <c r="T413" s="20" t="n"/>
    </row>
    <row r="414">
      <c r="R414" s="20" t="n"/>
      <c r="S414" s="20" t="n"/>
      <c r="T414" s="20" t="n"/>
    </row>
    <row r="415">
      <c r="R415" s="20" t="n"/>
      <c r="S415" s="20" t="n"/>
      <c r="T415" s="20" t="n"/>
    </row>
    <row r="416">
      <c r="R416" s="20" t="n"/>
      <c r="S416" s="20" t="n"/>
      <c r="T416" s="20" t="n"/>
    </row>
    <row r="417">
      <c r="R417" s="20" t="n"/>
      <c r="S417" s="20" t="n"/>
      <c r="T417" s="20" t="n"/>
    </row>
    <row r="418">
      <c r="R418" s="20" t="n"/>
      <c r="S418" s="20" t="n"/>
      <c r="T418" s="20" t="n"/>
    </row>
    <row r="419">
      <c r="R419" s="20" t="n"/>
      <c r="S419" s="20" t="n"/>
      <c r="T419" s="20" t="n"/>
    </row>
    <row r="420">
      <c r="R420" s="20" t="n"/>
      <c r="S420" s="20" t="n"/>
      <c r="T420" s="20" t="n"/>
    </row>
    <row r="421">
      <c r="R421" s="20" t="n"/>
      <c r="S421" s="20" t="n"/>
      <c r="T421" s="20" t="n"/>
    </row>
    <row r="422">
      <c r="R422" s="20" t="n"/>
      <c r="S422" s="20" t="n"/>
      <c r="T422" s="20" t="n"/>
    </row>
    <row r="423">
      <c r="R423" s="20" t="n"/>
      <c r="S423" s="20" t="n"/>
      <c r="T423" s="20" t="n"/>
    </row>
    <row r="424">
      <c r="R424" s="20" t="n"/>
      <c r="S424" s="20" t="n"/>
      <c r="T424" s="20" t="n"/>
    </row>
    <row r="425">
      <c r="R425" s="20" t="n"/>
      <c r="S425" s="20" t="n"/>
      <c r="T425" s="20" t="n"/>
    </row>
    <row r="426">
      <c r="R426" s="20" t="n"/>
      <c r="S426" s="20" t="n"/>
      <c r="T426" s="20" t="n"/>
    </row>
    <row r="427">
      <c r="R427" s="20" t="n"/>
      <c r="S427" s="20" t="n"/>
      <c r="T427" s="20" t="n"/>
    </row>
    <row r="428">
      <c r="R428" s="20" t="n"/>
      <c r="S428" s="20" t="n"/>
      <c r="T428" s="20" t="n"/>
    </row>
    <row r="429">
      <c r="R429" s="20" t="n"/>
      <c r="S429" s="20" t="n"/>
      <c r="T429" s="20" t="n"/>
    </row>
    <row r="430">
      <c r="R430" s="20" t="n"/>
      <c r="S430" s="20" t="n"/>
      <c r="T430" s="20" t="n"/>
    </row>
    <row r="431">
      <c r="R431" s="20" t="n"/>
      <c r="S431" s="20" t="n"/>
      <c r="T431" s="20" t="n"/>
    </row>
    <row r="432">
      <c r="R432" s="20" t="n"/>
      <c r="S432" s="20" t="n"/>
      <c r="T432" s="20" t="n"/>
    </row>
    <row r="433">
      <c r="R433" s="20" t="n"/>
      <c r="S433" s="20" t="n"/>
      <c r="T433" s="20" t="n"/>
    </row>
    <row r="434">
      <c r="R434" s="20" t="n"/>
      <c r="S434" s="20" t="n"/>
      <c r="T434" s="20" t="n"/>
    </row>
    <row r="435">
      <c r="R435" s="20" t="n"/>
      <c r="S435" s="20" t="n"/>
      <c r="T435" s="20" t="n"/>
    </row>
    <row r="436">
      <c r="R436" s="20" t="n"/>
      <c r="S436" s="20" t="n"/>
      <c r="T436" s="20" t="n"/>
    </row>
    <row r="437">
      <c r="R437" s="20" t="n"/>
      <c r="S437" s="20" t="n"/>
      <c r="T437" s="20" t="n"/>
    </row>
    <row r="438">
      <c r="R438" s="20" t="n"/>
      <c r="S438" s="20" t="n"/>
      <c r="T438" s="20" t="n"/>
    </row>
    <row r="439">
      <c r="R439" s="20" t="n"/>
      <c r="S439" s="20" t="n"/>
      <c r="T439" s="20" t="n"/>
    </row>
    <row r="440">
      <c r="R440" s="20" t="n"/>
      <c r="S440" s="20" t="n"/>
      <c r="T440" s="20" t="n"/>
    </row>
    <row r="441">
      <c r="R441" s="20" t="n"/>
      <c r="S441" s="20" t="n"/>
      <c r="T441" s="20" t="n"/>
    </row>
    <row r="442">
      <c r="R442" s="20" t="n"/>
      <c r="S442" s="20" t="n"/>
      <c r="T442" s="20" t="n"/>
    </row>
    <row r="443">
      <c r="R443" s="20" t="n"/>
      <c r="S443" s="20" t="n"/>
      <c r="T443" s="20" t="n"/>
    </row>
    <row r="444">
      <c r="R444" s="20" t="n"/>
      <c r="S444" s="20" t="n"/>
      <c r="T444" s="20" t="n"/>
    </row>
    <row r="445">
      <c r="R445" s="20" t="n"/>
      <c r="S445" s="20" t="n"/>
      <c r="T445" s="20" t="n"/>
    </row>
    <row r="446">
      <c r="R446" s="20" t="n"/>
      <c r="S446" s="20" t="n"/>
      <c r="T446" s="20" t="n"/>
    </row>
    <row r="447">
      <c r="R447" s="20" t="n"/>
      <c r="S447" s="20" t="n"/>
      <c r="T447" s="20" t="n"/>
    </row>
    <row r="448">
      <c r="R448" s="20" t="n"/>
      <c r="S448" s="20" t="n"/>
      <c r="T448" s="20" t="n"/>
    </row>
    <row r="449">
      <c r="R449" s="20" t="n"/>
      <c r="S449" s="20" t="n"/>
      <c r="T449" s="20" t="n"/>
    </row>
    <row r="450">
      <c r="R450" s="20" t="n"/>
      <c r="S450" s="20" t="n"/>
      <c r="T450" s="20" t="n"/>
    </row>
    <row r="451">
      <c r="R451" s="20" t="n"/>
      <c r="S451" s="20" t="n"/>
      <c r="T451" s="20" t="n"/>
    </row>
    <row r="452">
      <c r="R452" s="20" t="n"/>
      <c r="S452" s="20" t="n"/>
      <c r="T452" s="20" t="n"/>
    </row>
    <row r="453">
      <c r="R453" s="20" t="n"/>
      <c r="S453" s="20" t="n"/>
      <c r="T453" s="20" t="n"/>
    </row>
    <row r="454">
      <c r="R454" s="20" t="n"/>
      <c r="S454" s="20" t="n"/>
      <c r="T454" s="20" t="n"/>
    </row>
    <row r="455">
      <c r="R455" s="20" t="n"/>
      <c r="S455" s="20" t="n"/>
      <c r="T455" s="20" t="n"/>
    </row>
    <row r="456">
      <c r="R456" s="20" t="n"/>
      <c r="S456" s="20" t="n"/>
      <c r="T456" s="20" t="n"/>
    </row>
    <row r="457">
      <c r="R457" s="20" t="n"/>
      <c r="S457" s="20" t="n"/>
      <c r="T457" s="20" t="n"/>
    </row>
    <row r="458">
      <c r="R458" s="20" t="n"/>
      <c r="S458" s="20" t="n"/>
      <c r="T458" s="20" t="n"/>
    </row>
    <row r="459">
      <c r="R459" s="20" t="n"/>
      <c r="S459" s="20" t="n"/>
      <c r="T459" s="20" t="n"/>
    </row>
    <row r="460">
      <c r="R460" s="20" t="n"/>
      <c r="S460" s="20" t="n"/>
      <c r="T460" s="20" t="n"/>
    </row>
    <row r="461">
      <c r="R461" s="20" t="n"/>
      <c r="S461" s="20" t="n"/>
      <c r="T461" s="20" t="n"/>
    </row>
    <row r="462">
      <c r="R462" s="20" t="n"/>
      <c r="S462" s="20" t="n"/>
      <c r="T462" s="20" t="n"/>
    </row>
    <row r="463">
      <c r="R463" s="20" t="n"/>
      <c r="S463" s="20" t="n"/>
      <c r="T463" s="20" t="n"/>
    </row>
    <row r="464">
      <c r="R464" s="20" t="n"/>
      <c r="S464" s="20" t="n"/>
      <c r="T464" s="20" t="n"/>
    </row>
    <row r="465">
      <c r="R465" s="20" t="n"/>
      <c r="S465" s="20" t="n"/>
      <c r="T465" s="20" t="n"/>
    </row>
    <row r="466">
      <c r="R466" s="20" t="n"/>
      <c r="S466" s="20" t="n"/>
      <c r="T466" s="20" t="n"/>
    </row>
    <row r="467">
      <c r="R467" s="20" t="n"/>
      <c r="S467" s="20" t="n"/>
      <c r="T467" s="20" t="n"/>
    </row>
    <row r="468">
      <c r="R468" s="20" t="n"/>
      <c r="S468" s="20" t="n"/>
      <c r="T468" s="20" t="n"/>
    </row>
    <row r="469">
      <c r="R469" s="20" t="n"/>
      <c r="S469" s="20" t="n"/>
      <c r="T469" s="20" t="n"/>
    </row>
    <row r="470">
      <c r="R470" s="20" t="n"/>
      <c r="S470" s="20" t="n"/>
      <c r="T470" s="20" t="n"/>
    </row>
    <row r="471">
      <c r="R471" s="20" t="n"/>
      <c r="S471" s="20" t="n"/>
      <c r="T471" s="20" t="n"/>
    </row>
    <row r="472">
      <c r="R472" s="20" t="n"/>
      <c r="S472" s="20" t="n"/>
      <c r="T472" s="20" t="n"/>
    </row>
    <row r="473">
      <c r="R473" s="20" t="n"/>
      <c r="S473" s="20" t="n"/>
      <c r="T473" s="20" t="n"/>
    </row>
    <row r="474">
      <c r="R474" s="20" t="n"/>
      <c r="S474" s="20" t="n"/>
      <c r="T474" s="20" t="n"/>
    </row>
    <row r="475">
      <c r="R475" s="20" t="n"/>
      <c r="S475" s="20" t="n"/>
      <c r="T475" s="20" t="n"/>
    </row>
    <row r="476">
      <c r="R476" s="20" t="n"/>
      <c r="S476" s="20" t="n"/>
      <c r="T476" s="20" t="n"/>
    </row>
    <row r="477">
      <c r="R477" s="20" t="n"/>
      <c r="S477" s="20" t="n"/>
      <c r="T477" s="20" t="n"/>
    </row>
    <row r="478">
      <c r="R478" s="20" t="n"/>
      <c r="S478" s="20" t="n"/>
      <c r="T478" s="20" t="n"/>
    </row>
    <row r="479">
      <c r="R479" s="20" t="n"/>
      <c r="S479" s="20" t="n"/>
      <c r="T479" s="20" t="n"/>
    </row>
    <row r="480">
      <c r="R480" s="20" t="n"/>
      <c r="S480" s="20" t="n"/>
      <c r="T480" s="20" t="n"/>
    </row>
    <row r="481">
      <c r="R481" s="20" t="n"/>
      <c r="S481" s="20" t="n"/>
      <c r="T481" s="20" t="n"/>
    </row>
    <row r="482">
      <c r="R482" s="20" t="n"/>
      <c r="S482" s="20" t="n"/>
      <c r="T482" s="20" t="n"/>
    </row>
    <row r="483">
      <c r="R483" s="20" t="n"/>
      <c r="S483" s="20" t="n"/>
      <c r="T483" s="20" t="n"/>
    </row>
    <row r="484">
      <c r="R484" s="20" t="n"/>
      <c r="S484" s="20" t="n"/>
      <c r="T484" s="20" t="n"/>
    </row>
    <row r="485">
      <c r="R485" s="20" t="n"/>
      <c r="S485" s="20" t="n"/>
      <c r="T485" s="20" t="n"/>
    </row>
    <row r="486">
      <c r="R486" s="20" t="n"/>
      <c r="S486" s="20" t="n"/>
      <c r="T486" s="20" t="n"/>
    </row>
    <row r="487">
      <c r="R487" s="20" t="n"/>
      <c r="S487" s="20" t="n"/>
      <c r="T487" s="20" t="n"/>
    </row>
    <row r="488">
      <c r="R488" s="20" t="n"/>
      <c r="S488" s="20" t="n"/>
      <c r="T488" s="20" t="n"/>
    </row>
    <row r="489">
      <c r="R489" s="20" t="n"/>
      <c r="S489" s="20" t="n"/>
      <c r="T489" s="20" t="n"/>
    </row>
    <row r="490">
      <c r="R490" s="20" t="n"/>
      <c r="S490" s="20" t="n"/>
      <c r="T490" s="20" t="n"/>
    </row>
    <row r="491">
      <c r="R491" s="20" t="n"/>
      <c r="S491" s="20" t="n"/>
      <c r="T491" s="20" t="n"/>
    </row>
    <row r="492">
      <c r="R492" s="20" t="n"/>
      <c r="S492" s="20" t="n"/>
      <c r="T492" s="20" t="n"/>
    </row>
    <row r="493">
      <c r="R493" s="20" t="n"/>
      <c r="S493" s="20" t="n"/>
      <c r="T493" s="20" t="n"/>
    </row>
    <row r="494">
      <c r="R494" s="20" t="n"/>
      <c r="S494" s="20" t="n"/>
      <c r="T494" s="20" t="n"/>
    </row>
    <row r="495">
      <c r="R495" s="20" t="n"/>
      <c r="S495" s="20" t="n"/>
      <c r="T495" s="20" t="n"/>
    </row>
    <row r="496">
      <c r="R496" s="20" t="n"/>
      <c r="S496" s="20" t="n"/>
      <c r="T496" s="20" t="n"/>
    </row>
    <row r="497">
      <c r="R497" s="20" t="n"/>
      <c r="S497" s="20" t="n"/>
      <c r="T497" s="20" t="n"/>
    </row>
    <row r="498">
      <c r="R498" s="20" t="n"/>
      <c r="S498" s="20" t="n"/>
      <c r="T498" s="20" t="n"/>
    </row>
    <row r="499">
      <c r="R499" s="20" t="n"/>
      <c r="S499" s="20" t="n"/>
      <c r="T499" s="20" t="n"/>
    </row>
    <row r="500">
      <c r="R500" s="20" t="n"/>
      <c r="S500" s="20" t="n"/>
      <c r="T500" s="20" t="n"/>
    </row>
    <row r="501">
      <c r="R501" s="20" t="n"/>
      <c r="S501" s="20" t="n"/>
      <c r="T501" s="20" t="n"/>
    </row>
    <row r="502">
      <c r="R502" s="20" t="n"/>
      <c r="S502" s="20" t="n"/>
      <c r="T502" s="20" t="n"/>
    </row>
    <row r="503">
      <c r="R503" s="20" t="n"/>
      <c r="S503" s="20" t="n"/>
      <c r="T503" s="20" t="n"/>
    </row>
    <row r="504">
      <c r="R504" s="20" t="n"/>
      <c r="S504" s="20" t="n"/>
      <c r="T504" s="20" t="n"/>
    </row>
    <row r="505">
      <c r="R505" s="20" t="n"/>
      <c r="S505" s="20" t="n"/>
      <c r="T505" s="20" t="n"/>
    </row>
    <row r="506">
      <c r="R506" s="20" t="n"/>
      <c r="S506" s="20" t="n"/>
      <c r="T506" s="20" t="n"/>
    </row>
    <row r="507">
      <c r="R507" s="20" t="n"/>
      <c r="S507" s="20" t="n"/>
      <c r="T507" s="20" t="n"/>
    </row>
    <row r="508">
      <c r="R508" s="20" t="n"/>
      <c r="S508" s="20" t="n"/>
      <c r="T508" s="20" t="n"/>
    </row>
    <row r="509">
      <c r="R509" s="20" t="n"/>
      <c r="S509" s="20" t="n"/>
      <c r="T509" s="20" t="n"/>
    </row>
    <row r="510">
      <c r="R510" s="20" t="n"/>
      <c r="S510" s="20" t="n"/>
      <c r="T510" s="20" t="n"/>
    </row>
    <row r="511">
      <c r="R511" s="20" t="n"/>
      <c r="S511" s="20" t="n"/>
      <c r="T511" s="20" t="n"/>
    </row>
    <row r="512">
      <c r="R512" s="20" t="n"/>
      <c r="S512" s="20" t="n"/>
      <c r="T512" s="20" t="n"/>
    </row>
    <row r="513">
      <c r="R513" s="20" t="n"/>
      <c r="S513" s="20" t="n"/>
      <c r="T513" s="20" t="n"/>
    </row>
    <row r="514">
      <c r="R514" s="20" t="n"/>
      <c r="S514" s="20" t="n"/>
      <c r="T514" s="20" t="n"/>
    </row>
    <row r="515">
      <c r="R515" s="20" t="n"/>
      <c r="S515" s="20" t="n"/>
      <c r="T515" s="20" t="n"/>
    </row>
    <row r="516">
      <c r="R516" s="20" t="n"/>
      <c r="S516" s="20" t="n"/>
      <c r="T516" s="20" t="n"/>
    </row>
    <row r="517">
      <c r="R517" s="20" t="n"/>
      <c r="S517" s="20" t="n"/>
      <c r="T517" s="20" t="n"/>
    </row>
    <row r="518">
      <c r="R518" s="20" t="n"/>
      <c r="S518" s="20" t="n"/>
      <c r="T518" s="20" t="n"/>
    </row>
    <row r="519">
      <c r="R519" s="20" t="n"/>
      <c r="S519" s="20" t="n"/>
      <c r="T519" s="20" t="n"/>
    </row>
    <row r="520">
      <c r="R520" s="20" t="n"/>
      <c r="S520" s="20" t="n"/>
      <c r="T520" s="20" t="n"/>
    </row>
    <row r="521">
      <c r="R521" s="20" t="n"/>
      <c r="S521" s="20" t="n"/>
      <c r="T521" s="20" t="n"/>
    </row>
    <row r="522">
      <c r="R522" s="20" t="n"/>
      <c r="S522" s="20" t="n"/>
      <c r="T522" s="20" t="n"/>
    </row>
    <row r="523">
      <c r="R523" s="20" t="n"/>
      <c r="S523" s="20" t="n"/>
      <c r="T523" s="20" t="n"/>
    </row>
    <row r="524">
      <c r="R524" s="20" t="n"/>
      <c r="S524" s="20" t="n"/>
      <c r="T524" s="20" t="n"/>
    </row>
    <row r="525">
      <c r="R525" s="20" t="n"/>
      <c r="S525" s="20" t="n"/>
      <c r="T525" s="20" t="n"/>
    </row>
    <row r="526">
      <c r="R526" s="20" t="n"/>
      <c r="S526" s="20" t="n"/>
      <c r="T526" s="20" t="n"/>
    </row>
    <row r="527">
      <c r="R527" s="20" t="n"/>
      <c r="S527" s="20" t="n"/>
      <c r="T527" s="20" t="n"/>
    </row>
    <row r="528">
      <c r="R528" s="20" t="n"/>
      <c r="S528" s="20" t="n"/>
      <c r="T528" s="20" t="n"/>
    </row>
    <row r="529">
      <c r="R529" s="20" t="n"/>
      <c r="S529" s="20" t="n"/>
      <c r="T529" s="20" t="n"/>
    </row>
    <row r="530">
      <c r="R530" s="20" t="n"/>
      <c r="S530" s="20" t="n"/>
      <c r="T530" s="20" t="n"/>
    </row>
    <row r="531">
      <c r="R531" s="20" t="n"/>
      <c r="S531" s="20" t="n"/>
      <c r="T531" s="20" t="n"/>
    </row>
    <row r="532">
      <c r="R532" s="20" t="n"/>
      <c r="S532" s="20" t="n"/>
      <c r="T532" s="20" t="n"/>
    </row>
    <row r="533">
      <c r="R533" s="20" t="n"/>
      <c r="S533" s="20" t="n"/>
      <c r="T533" s="20" t="n"/>
    </row>
    <row r="534">
      <c r="R534" s="20" t="n"/>
      <c r="S534" s="20" t="n"/>
      <c r="T534" s="20" t="n"/>
    </row>
    <row r="535">
      <c r="R535" s="20" t="n"/>
      <c r="S535" s="20" t="n"/>
      <c r="T535" s="20" t="n"/>
    </row>
    <row r="536">
      <c r="R536" s="20" t="n"/>
      <c r="S536" s="20" t="n"/>
      <c r="T536" s="20" t="n"/>
    </row>
    <row r="537">
      <c r="R537" s="20" t="n"/>
      <c r="S537" s="20" t="n"/>
      <c r="T537" s="20" t="n"/>
    </row>
    <row r="538">
      <c r="R538" s="20" t="n"/>
      <c r="S538" s="20" t="n"/>
      <c r="T538" s="20" t="n"/>
    </row>
    <row r="539">
      <c r="R539" s="20" t="n"/>
      <c r="S539" s="20" t="n"/>
      <c r="T539" s="20" t="n"/>
    </row>
    <row r="540">
      <c r="R540" s="20" t="n"/>
      <c r="S540" s="20" t="n"/>
      <c r="T540" s="20" t="n"/>
    </row>
    <row r="541">
      <c r="R541" s="20" t="n"/>
      <c r="S541" s="20" t="n"/>
      <c r="T541" s="20" t="n"/>
    </row>
    <row r="542">
      <c r="R542" s="20" t="n"/>
      <c r="S542" s="20" t="n"/>
      <c r="T542" s="20" t="n"/>
    </row>
    <row r="543">
      <c r="R543" s="20" t="n"/>
      <c r="S543" s="20" t="n"/>
      <c r="T543" s="20" t="n"/>
    </row>
    <row r="544">
      <c r="R544" s="20" t="n"/>
      <c r="S544" s="20" t="n"/>
      <c r="T544" s="20" t="n"/>
    </row>
    <row r="545">
      <c r="R545" s="20" t="n"/>
      <c r="S545" s="20" t="n"/>
      <c r="T545" s="20" t="n"/>
    </row>
    <row r="546">
      <c r="R546" s="20" t="n"/>
      <c r="S546" s="20" t="n"/>
      <c r="T546" s="20" t="n"/>
    </row>
    <row r="547">
      <c r="R547" s="20" t="n"/>
      <c r="S547" s="20" t="n"/>
      <c r="T547" s="20" t="n"/>
    </row>
    <row r="548">
      <c r="R548" s="20" t="n"/>
      <c r="S548" s="20" t="n"/>
      <c r="T548" s="20" t="n"/>
    </row>
    <row r="549">
      <c r="R549" s="20" t="n"/>
      <c r="S549" s="20" t="n"/>
      <c r="T549" s="20" t="n"/>
    </row>
    <row r="550">
      <c r="R550" s="20" t="n"/>
      <c r="S550" s="20" t="n"/>
      <c r="T550" s="20" t="n"/>
    </row>
    <row r="551">
      <c r="R551" s="20" t="n"/>
      <c r="S551" s="20" t="n"/>
      <c r="T551" s="20" t="n"/>
    </row>
    <row r="552">
      <c r="R552" s="20" t="n"/>
      <c r="S552" s="20" t="n"/>
      <c r="T552" s="20" t="n"/>
    </row>
    <row r="553">
      <c r="R553" s="20" t="n"/>
      <c r="S553" s="20" t="n"/>
      <c r="T553" s="20" t="n"/>
    </row>
    <row r="554">
      <c r="R554" s="20" t="n"/>
      <c r="S554" s="20" t="n"/>
      <c r="T554" s="20" t="n"/>
    </row>
    <row r="555">
      <c r="R555" s="20" t="n"/>
      <c r="S555" s="20" t="n"/>
      <c r="T555" s="20" t="n"/>
    </row>
    <row r="556">
      <c r="R556" s="20" t="n"/>
      <c r="S556" s="20" t="n"/>
      <c r="T556" s="20" t="n"/>
    </row>
    <row r="557">
      <c r="R557" s="20" t="n"/>
      <c r="S557" s="20" t="n"/>
      <c r="T557" s="20" t="n"/>
    </row>
    <row r="558">
      <c r="R558" s="20" t="n"/>
      <c r="S558" s="20" t="n"/>
      <c r="T558" s="20" t="n"/>
    </row>
    <row r="559">
      <c r="R559" s="20" t="n"/>
      <c r="S559" s="20" t="n"/>
      <c r="T559" s="20" t="n"/>
    </row>
    <row r="560">
      <c r="R560" s="20" t="n"/>
      <c r="S560" s="20" t="n"/>
      <c r="T560" s="20" t="n"/>
    </row>
    <row r="561">
      <c r="R561" s="20" t="n"/>
      <c r="S561" s="20" t="n"/>
      <c r="T561" s="20" t="n"/>
    </row>
    <row r="562">
      <c r="R562" s="20" t="n"/>
      <c r="S562" s="20" t="n"/>
      <c r="T562" s="20" t="n"/>
    </row>
    <row r="563">
      <c r="R563" s="20" t="n"/>
      <c r="S563" s="20" t="n"/>
      <c r="T563" s="20" t="n"/>
    </row>
    <row r="564">
      <c r="R564" s="20" t="n"/>
      <c r="S564" s="20" t="n"/>
      <c r="T564" s="20" t="n"/>
    </row>
    <row r="565">
      <c r="R565" s="20" t="n"/>
      <c r="S565" s="20" t="n"/>
      <c r="T565" s="20" t="n"/>
    </row>
    <row r="566">
      <c r="R566" s="20" t="n"/>
      <c r="S566" s="20" t="n"/>
      <c r="T566" s="20" t="n"/>
    </row>
    <row r="567">
      <c r="R567" s="20" t="n"/>
      <c r="S567" s="20" t="n"/>
      <c r="T567" s="20" t="n"/>
    </row>
    <row r="568">
      <c r="R568" s="20" t="n"/>
      <c r="S568" s="20" t="n"/>
      <c r="T568" s="20" t="n"/>
    </row>
    <row r="569">
      <c r="R569" s="20" t="n"/>
      <c r="S569" s="20" t="n"/>
      <c r="T569" s="20" t="n"/>
    </row>
    <row r="570">
      <c r="R570" s="20" t="n"/>
      <c r="S570" s="20" t="n"/>
      <c r="T570" s="20" t="n"/>
    </row>
    <row r="571">
      <c r="R571" s="20" t="n"/>
      <c r="S571" s="20" t="n"/>
      <c r="T571" s="20" t="n"/>
    </row>
    <row r="572">
      <c r="R572" s="20" t="n"/>
      <c r="S572" s="20" t="n"/>
      <c r="T572" s="20" t="n"/>
    </row>
    <row r="573">
      <c r="R573" s="20" t="n"/>
      <c r="S573" s="20" t="n"/>
      <c r="T573" s="20" t="n"/>
    </row>
    <row r="574">
      <c r="R574" s="20" t="n"/>
      <c r="S574" s="20" t="n"/>
      <c r="T574" s="20" t="n"/>
    </row>
    <row r="575">
      <c r="R575" s="20" t="n"/>
      <c r="S575" s="20" t="n"/>
      <c r="T575" s="20" t="n"/>
    </row>
    <row r="576">
      <c r="R576" s="20" t="n"/>
      <c r="S576" s="20" t="n"/>
      <c r="T576" s="20" t="n"/>
    </row>
    <row r="577">
      <c r="R577" s="20" t="n"/>
      <c r="S577" s="20" t="n"/>
      <c r="T577" s="20" t="n"/>
    </row>
    <row r="578">
      <c r="R578" s="20" t="n"/>
      <c r="S578" s="20" t="n"/>
      <c r="T578" s="20" t="n"/>
    </row>
    <row r="579">
      <c r="R579" s="20" t="n"/>
      <c r="S579" s="20" t="n"/>
      <c r="T579" s="20" t="n"/>
    </row>
    <row r="580">
      <c r="R580" s="20" t="n"/>
      <c r="S580" s="20" t="n"/>
      <c r="T580" s="20" t="n"/>
    </row>
    <row r="581">
      <c r="R581" s="20" t="n"/>
      <c r="S581" s="20" t="n"/>
      <c r="T581" s="20" t="n"/>
    </row>
    <row r="582">
      <c r="R582" s="20" t="n"/>
      <c r="S582" s="20" t="n"/>
      <c r="T582" s="20" t="n"/>
    </row>
    <row r="583">
      <c r="R583" s="20" t="n"/>
      <c r="S583" s="20" t="n"/>
      <c r="T583" s="20" t="n"/>
    </row>
    <row r="584">
      <c r="R584" s="20" t="n"/>
      <c r="S584" s="20" t="n"/>
      <c r="T584" s="20" t="n"/>
    </row>
    <row r="585">
      <c r="R585" s="20" t="n"/>
      <c r="S585" s="20" t="n"/>
      <c r="T585" s="20" t="n"/>
    </row>
    <row r="586">
      <c r="R586" s="20" t="n"/>
      <c r="S586" s="20" t="n"/>
      <c r="T586" s="20" t="n"/>
    </row>
    <row r="587">
      <c r="R587" s="20" t="n"/>
      <c r="S587" s="20" t="n"/>
      <c r="T587" s="20" t="n"/>
    </row>
    <row r="588">
      <c r="R588" s="20" t="n"/>
      <c r="S588" s="20" t="n"/>
      <c r="T588" s="20" t="n"/>
    </row>
    <row r="589">
      <c r="R589" s="20" t="n"/>
      <c r="S589" s="20" t="n"/>
      <c r="T589" s="20" t="n"/>
    </row>
    <row r="590">
      <c r="R590" s="20" t="n"/>
      <c r="S590" s="20" t="n"/>
      <c r="T590" s="20" t="n"/>
    </row>
    <row r="591">
      <c r="R591" s="20" t="n"/>
      <c r="S591" s="20" t="n"/>
      <c r="T591" s="20" t="n"/>
    </row>
    <row r="592">
      <c r="R592" s="20" t="n"/>
      <c r="S592" s="20" t="n"/>
      <c r="T592" s="20" t="n"/>
    </row>
    <row r="593">
      <c r="R593" s="20" t="n"/>
      <c r="S593" s="20" t="n"/>
      <c r="T593" s="20" t="n"/>
    </row>
    <row r="594">
      <c r="R594" s="20" t="n"/>
      <c r="S594" s="20" t="n"/>
      <c r="T594" s="20" t="n"/>
    </row>
    <row r="595">
      <c r="R595" s="20" t="n"/>
      <c r="S595" s="20" t="n"/>
      <c r="T595" s="20" t="n"/>
    </row>
    <row r="596">
      <c r="R596" s="20" t="n"/>
      <c r="S596" s="20" t="n"/>
      <c r="T596" s="20" t="n"/>
    </row>
    <row r="597">
      <c r="R597" s="20" t="n"/>
      <c r="S597" s="20" t="n"/>
      <c r="T597" s="20" t="n"/>
    </row>
    <row r="598">
      <c r="R598" s="20" t="n"/>
      <c r="S598" s="20" t="n"/>
      <c r="T598" s="20" t="n"/>
    </row>
    <row r="599">
      <c r="R599" s="20" t="n"/>
      <c r="S599" s="20" t="n"/>
      <c r="T599" s="20" t="n"/>
    </row>
    <row r="600">
      <c r="R600" s="20" t="n"/>
      <c r="S600" s="20" t="n"/>
      <c r="T600" s="20" t="n"/>
    </row>
    <row r="601">
      <c r="R601" s="20" t="n"/>
      <c r="S601" s="20" t="n"/>
      <c r="T601" s="20" t="n"/>
    </row>
    <row r="602">
      <c r="R602" s="20" t="n"/>
      <c r="S602" s="20" t="n"/>
      <c r="T602" s="20" t="n"/>
    </row>
    <row r="603">
      <c r="R603" s="20" t="n"/>
      <c r="S603" s="20" t="n"/>
      <c r="T603" s="20" t="n"/>
    </row>
    <row r="604">
      <c r="R604" s="20" t="n"/>
      <c r="S604" s="20" t="n"/>
      <c r="T604" s="20" t="n"/>
    </row>
    <row r="605">
      <c r="R605" s="20" t="n"/>
      <c r="S605" s="20" t="n"/>
      <c r="T605" s="20" t="n"/>
    </row>
    <row r="606">
      <c r="R606" s="20" t="n"/>
      <c r="S606" s="20" t="n"/>
      <c r="T606" s="20" t="n"/>
    </row>
    <row r="607">
      <c r="R607" s="20" t="n"/>
      <c r="S607" s="20" t="n"/>
      <c r="T607" s="20" t="n"/>
    </row>
    <row r="608">
      <c r="R608" s="20" t="n"/>
      <c r="S608" s="20" t="n"/>
      <c r="T608" s="20" t="n"/>
    </row>
    <row r="609">
      <c r="R609" s="20" t="n"/>
      <c r="S609" s="20" t="n"/>
      <c r="T609" s="20" t="n"/>
    </row>
    <row r="610">
      <c r="R610" s="20" t="n"/>
      <c r="S610" s="20" t="n"/>
      <c r="T610" s="20" t="n"/>
    </row>
    <row r="611">
      <c r="R611" s="20" t="n"/>
      <c r="S611" s="20" t="n"/>
      <c r="T611" s="20" t="n"/>
    </row>
    <row r="612">
      <c r="R612" s="20" t="n"/>
      <c r="S612" s="20" t="n"/>
      <c r="T612" s="20" t="n"/>
    </row>
    <row r="613">
      <c r="R613" s="20" t="n"/>
      <c r="S613" s="20" t="n"/>
      <c r="T613" s="20" t="n"/>
    </row>
    <row r="614">
      <c r="R614" s="20" t="n"/>
      <c r="S614" s="20" t="n"/>
      <c r="T614" s="20" t="n"/>
    </row>
    <row r="615">
      <c r="R615" s="20" t="n"/>
      <c r="S615" s="20" t="n"/>
      <c r="T615" s="20" t="n"/>
    </row>
    <row r="616">
      <c r="R616" s="20" t="n"/>
      <c r="S616" s="20" t="n"/>
      <c r="T616" s="20" t="n"/>
    </row>
    <row r="617">
      <c r="R617" s="20" t="n"/>
      <c r="S617" s="20" t="n"/>
      <c r="T617" s="20" t="n"/>
    </row>
    <row r="618">
      <c r="R618" s="20" t="n"/>
      <c r="S618" s="20" t="n"/>
      <c r="T618" s="20" t="n"/>
    </row>
    <row r="619">
      <c r="R619" s="20" t="n"/>
      <c r="S619" s="20" t="n"/>
      <c r="T619" s="20" t="n"/>
    </row>
    <row r="620">
      <c r="R620" s="20" t="n"/>
      <c r="S620" s="20" t="n"/>
      <c r="T620" s="20" t="n"/>
    </row>
    <row r="621">
      <c r="R621" s="20" t="n"/>
      <c r="S621" s="20" t="n"/>
      <c r="T621" s="20" t="n"/>
    </row>
    <row r="622">
      <c r="R622" s="20" t="n"/>
      <c r="S622" s="20" t="n"/>
      <c r="T622" s="20" t="n"/>
    </row>
    <row r="623">
      <c r="R623" s="20" t="n"/>
      <c r="S623" s="20" t="n"/>
      <c r="T623" s="20" t="n"/>
    </row>
    <row r="624">
      <c r="R624" s="20" t="n"/>
      <c r="S624" s="20" t="n"/>
      <c r="T624" s="20" t="n"/>
    </row>
    <row r="625">
      <c r="R625" s="20" t="n"/>
      <c r="S625" s="20" t="n"/>
      <c r="T625" s="20" t="n"/>
    </row>
    <row r="626">
      <c r="R626" s="20" t="n"/>
      <c r="S626" s="20" t="n"/>
      <c r="T626" s="20" t="n"/>
    </row>
    <row r="627">
      <c r="R627" s="20" t="n"/>
      <c r="S627" s="20" t="n"/>
      <c r="T627" s="20" t="n"/>
    </row>
    <row r="628">
      <c r="R628" s="20" t="n"/>
      <c r="S628" s="20" t="n"/>
      <c r="T628" s="20" t="n"/>
    </row>
    <row r="629">
      <c r="R629" s="20" t="n"/>
      <c r="S629" s="20" t="n"/>
      <c r="T629" s="20" t="n"/>
    </row>
    <row r="630">
      <c r="R630" s="20" t="n"/>
      <c r="S630" s="20" t="n"/>
      <c r="T630" s="20" t="n"/>
    </row>
    <row r="631">
      <c r="R631" s="20" t="n"/>
      <c r="S631" s="20" t="n"/>
      <c r="T631" s="20" t="n"/>
    </row>
    <row r="632">
      <c r="R632" s="20" t="n"/>
      <c r="S632" s="20" t="n"/>
      <c r="T632" s="20" t="n"/>
    </row>
    <row r="633">
      <c r="R633" s="20" t="n"/>
      <c r="S633" s="20" t="n"/>
      <c r="T633" s="20" t="n"/>
    </row>
    <row r="634">
      <c r="R634" s="20" t="n"/>
      <c r="S634" s="20" t="n"/>
      <c r="T634" s="20" t="n"/>
    </row>
    <row r="635">
      <c r="R635" s="20" t="n"/>
      <c r="S635" s="20" t="n"/>
      <c r="T635" s="20" t="n"/>
    </row>
    <row r="636">
      <c r="R636" s="20" t="n"/>
      <c r="S636" s="20" t="n"/>
      <c r="T636" s="20" t="n"/>
    </row>
    <row r="637">
      <c r="R637" s="20" t="n"/>
      <c r="S637" s="20" t="n"/>
      <c r="T637" s="20" t="n"/>
    </row>
    <row r="638">
      <c r="R638" s="20" t="n"/>
      <c r="S638" s="20" t="n"/>
      <c r="T638" s="20" t="n"/>
    </row>
    <row r="639">
      <c r="R639" s="20" t="n"/>
      <c r="S639" s="20" t="n"/>
      <c r="T639" s="20" t="n"/>
    </row>
    <row r="640">
      <c r="R640" s="20" t="n"/>
      <c r="S640" s="20" t="n"/>
      <c r="T640" s="20" t="n"/>
    </row>
    <row r="641">
      <c r="R641" s="20" t="n"/>
      <c r="S641" s="20" t="n"/>
      <c r="T641" s="20" t="n"/>
    </row>
    <row r="642">
      <c r="R642" s="20" t="n"/>
      <c r="S642" s="20" t="n"/>
      <c r="T642" s="20" t="n"/>
    </row>
    <row r="643">
      <c r="R643" s="20" t="n"/>
      <c r="S643" s="20" t="n"/>
      <c r="T643" s="20" t="n"/>
    </row>
    <row r="644">
      <c r="R644" s="20" t="n"/>
      <c r="S644" s="20" t="n"/>
      <c r="T644" s="20" t="n"/>
    </row>
    <row r="645">
      <c r="R645" s="20" t="n"/>
      <c r="S645" s="20" t="n"/>
      <c r="T645" s="20" t="n"/>
    </row>
    <row r="646">
      <c r="R646" s="20" t="n"/>
      <c r="S646" s="20" t="n"/>
      <c r="T646" s="20" t="n"/>
    </row>
    <row r="647">
      <c r="R647" s="20" t="n"/>
      <c r="S647" s="20" t="n"/>
      <c r="T647" s="20" t="n"/>
    </row>
    <row r="648">
      <c r="R648" s="20" t="n"/>
      <c r="S648" s="20" t="n"/>
      <c r="T648" s="20" t="n"/>
    </row>
    <row r="649">
      <c r="R649" s="20" t="n"/>
      <c r="S649" s="20" t="n"/>
      <c r="T649" s="20" t="n"/>
    </row>
    <row r="650">
      <c r="R650" s="20" t="n"/>
      <c r="S650" s="20" t="n"/>
      <c r="T650" s="20" t="n"/>
    </row>
    <row r="651">
      <c r="R651" s="20" t="n"/>
      <c r="S651" s="20" t="n"/>
      <c r="T651" s="20" t="n"/>
    </row>
    <row r="652">
      <c r="R652" s="20" t="n"/>
      <c r="S652" s="20" t="n"/>
      <c r="T652" s="20" t="n"/>
    </row>
    <row r="653">
      <c r="R653" s="20" t="n"/>
      <c r="S653" s="20" t="n"/>
      <c r="T653" s="20" t="n"/>
    </row>
    <row r="654">
      <c r="R654" s="20" t="n"/>
      <c r="S654" s="20" t="n"/>
      <c r="T654" s="20" t="n"/>
    </row>
    <row r="655">
      <c r="R655" s="20" t="n"/>
      <c r="S655" s="20" t="n"/>
      <c r="T655" s="20" t="n"/>
    </row>
    <row r="656">
      <c r="R656" s="20" t="n"/>
      <c r="S656" s="20" t="n"/>
      <c r="T656" s="20" t="n"/>
    </row>
    <row r="657">
      <c r="R657" s="20" t="n"/>
      <c r="S657" s="20" t="n"/>
      <c r="T657" s="20" t="n"/>
    </row>
    <row r="658">
      <c r="R658" s="20" t="n"/>
      <c r="S658" s="20" t="n"/>
      <c r="T658" s="20" t="n"/>
    </row>
    <row r="659">
      <c r="R659" s="20" t="n"/>
      <c r="S659" s="20" t="n"/>
      <c r="T659" s="20" t="n"/>
    </row>
    <row r="660">
      <c r="R660" s="20" t="n"/>
      <c r="S660" s="20" t="n"/>
      <c r="T660" s="20" t="n"/>
    </row>
    <row r="661">
      <c r="R661" s="20" t="n"/>
      <c r="S661" s="20" t="n"/>
      <c r="T661" s="20" t="n"/>
    </row>
    <row r="662">
      <c r="R662" s="20" t="n"/>
      <c r="S662" s="20" t="n"/>
      <c r="T662" s="20" t="n"/>
    </row>
    <row r="663">
      <c r="R663" s="20" t="n"/>
      <c r="S663" s="20" t="n"/>
      <c r="T663" s="20" t="n"/>
    </row>
    <row r="664">
      <c r="R664" s="20" t="n"/>
      <c r="S664" s="20" t="n"/>
      <c r="T664" s="20" t="n"/>
    </row>
    <row r="665">
      <c r="R665" s="20" t="n"/>
      <c r="S665" s="20" t="n"/>
      <c r="T665" s="20" t="n"/>
    </row>
    <row r="666">
      <c r="R666" s="20" t="n"/>
      <c r="S666" s="20" t="n"/>
      <c r="T666" s="20" t="n"/>
    </row>
    <row r="667">
      <c r="R667" s="20" t="n"/>
      <c r="S667" s="20" t="n"/>
      <c r="T667" s="20" t="n"/>
    </row>
    <row r="668">
      <c r="R668" s="20" t="n"/>
      <c r="S668" s="20" t="n"/>
      <c r="T668" s="20" t="n"/>
    </row>
    <row r="669">
      <c r="R669" s="20" t="n"/>
      <c r="S669" s="20" t="n"/>
      <c r="T669" s="20" t="n"/>
    </row>
    <row r="670">
      <c r="R670" s="20" t="n"/>
      <c r="S670" s="20" t="n"/>
      <c r="T670" s="20" t="n"/>
    </row>
    <row r="671">
      <c r="R671" s="20" t="n"/>
      <c r="S671" s="20" t="n"/>
      <c r="T671" s="20" t="n"/>
    </row>
    <row r="672">
      <c r="R672" s="20" t="n"/>
      <c r="S672" s="20" t="n"/>
      <c r="T672" s="20" t="n"/>
    </row>
    <row r="673">
      <c r="R673" s="20" t="n"/>
      <c r="S673" s="20" t="n"/>
      <c r="T673" s="20" t="n"/>
    </row>
    <row r="674">
      <c r="R674" s="20" t="n"/>
      <c r="S674" s="20" t="n"/>
      <c r="T674" s="20" t="n"/>
    </row>
    <row r="675">
      <c r="R675" s="20" t="n"/>
      <c r="S675" s="20" t="n"/>
      <c r="T675" s="20" t="n"/>
    </row>
    <row r="676">
      <c r="R676" s="20" t="n"/>
      <c r="S676" s="20" t="n"/>
      <c r="T676" s="20" t="n"/>
    </row>
    <row r="677">
      <c r="R677" s="20" t="n"/>
      <c r="S677" s="20" t="n"/>
      <c r="T677" s="20" t="n"/>
    </row>
    <row r="678">
      <c r="R678" s="20" t="n"/>
      <c r="S678" s="20" t="n"/>
      <c r="T678" s="20" t="n"/>
    </row>
    <row r="679">
      <c r="R679" s="20" t="n"/>
      <c r="S679" s="20" t="n"/>
      <c r="T679" s="20" t="n"/>
    </row>
    <row r="680">
      <c r="R680" s="20" t="n"/>
      <c r="S680" s="20" t="n"/>
      <c r="T680" s="20" t="n"/>
    </row>
    <row r="681">
      <c r="R681" s="20" t="n"/>
      <c r="S681" s="20" t="n"/>
      <c r="T681" s="20" t="n"/>
    </row>
    <row r="682">
      <c r="R682" s="20" t="n"/>
      <c r="S682" s="20" t="n"/>
      <c r="T682" s="20" t="n"/>
    </row>
    <row r="683">
      <c r="R683" s="20" t="n"/>
      <c r="S683" s="20" t="n"/>
      <c r="T683" s="20" t="n"/>
    </row>
    <row r="684">
      <c r="R684" s="20" t="n"/>
      <c r="S684" s="20" t="n"/>
      <c r="T684" s="20" t="n"/>
    </row>
    <row r="685">
      <c r="R685" s="20" t="n"/>
      <c r="S685" s="20" t="n"/>
      <c r="T685" s="20" t="n"/>
    </row>
    <row r="686">
      <c r="R686" s="20" t="n"/>
      <c r="S686" s="20" t="n"/>
      <c r="T686" s="20" t="n"/>
    </row>
    <row r="687">
      <c r="R687" s="20" t="n"/>
      <c r="S687" s="20" t="n"/>
      <c r="T687" s="20" t="n"/>
    </row>
    <row r="688">
      <c r="R688" s="20" t="n"/>
      <c r="S688" s="20" t="n"/>
      <c r="T688" s="20" t="n"/>
    </row>
    <row r="689">
      <c r="R689" s="20" t="n"/>
      <c r="S689" s="20" t="n"/>
      <c r="T689" s="20" t="n"/>
    </row>
    <row r="690">
      <c r="R690" s="20" t="n"/>
      <c r="S690" s="20" t="n"/>
      <c r="T690" s="20" t="n"/>
    </row>
    <row r="691">
      <c r="R691" s="20" t="n"/>
      <c r="S691" s="20" t="n"/>
      <c r="T691" s="20" t="n"/>
    </row>
    <row r="692">
      <c r="R692" s="20" t="n"/>
      <c r="S692" s="20" t="n"/>
      <c r="T692" s="20" t="n"/>
    </row>
    <row r="693">
      <c r="R693" s="20" t="n"/>
      <c r="S693" s="20" t="n"/>
      <c r="T693" s="20" t="n"/>
    </row>
    <row r="694">
      <c r="R694" s="20" t="n"/>
      <c r="S694" s="20" t="n"/>
      <c r="T694" s="20" t="n"/>
    </row>
    <row r="695">
      <c r="R695" s="20" t="n"/>
      <c r="S695" s="20" t="n"/>
      <c r="T695" s="20" t="n"/>
    </row>
    <row r="696">
      <c r="R696" s="20" t="n"/>
      <c r="S696" s="20" t="n"/>
      <c r="T696" s="20" t="n"/>
    </row>
    <row r="697">
      <c r="R697" s="20" t="n"/>
      <c r="S697" s="20" t="n"/>
      <c r="T697" s="20" t="n"/>
    </row>
    <row r="698">
      <c r="R698" s="20" t="n"/>
      <c r="S698" s="20" t="n"/>
      <c r="T698" s="20" t="n"/>
    </row>
    <row r="699">
      <c r="R699" s="20" t="n"/>
      <c r="S699" s="20" t="n"/>
      <c r="T699" s="20" t="n"/>
    </row>
    <row r="700">
      <c r="R700" s="20" t="n"/>
      <c r="S700" s="20" t="n"/>
      <c r="T700" s="20" t="n"/>
    </row>
    <row r="701">
      <c r="R701" s="20" t="n"/>
      <c r="S701" s="20" t="n"/>
      <c r="T701" s="20" t="n"/>
    </row>
    <row r="702">
      <c r="R702" s="20" t="n"/>
      <c r="S702" s="20" t="n"/>
      <c r="T702" s="20" t="n"/>
    </row>
    <row r="703">
      <c r="R703" s="20" t="n"/>
      <c r="S703" s="20" t="n"/>
      <c r="T703" s="20" t="n"/>
    </row>
    <row r="704">
      <c r="R704" s="20" t="n"/>
      <c r="S704" s="20" t="n"/>
      <c r="T704" s="20" t="n"/>
    </row>
    <row r="705">
      <c r="R705" s="20" t="n"/>
      <c r="S705" s="20" t="n"/>
      <c r="T705" s="20" t="n"/>
    </row>
    <row r="706">
      <c r="R706" s="20" t="n"/>
      <c r="S706" s="20" t="n"/>
      <c r="T706" s="20" t="n"/>
    </row>
    <row r="707">
      <c r="R707" s="20" t="n"/>
      <c r="S707" s="20" t="n"/>
      <c r="T707" s="20" t="n"/>
    </row>
    <row r="708">
      <c r="R708" s="20" t="n"/>
      <c r="S708" s="20" t="n"/>
      <c r="T708" s="20" t="n"/>
    </row>
    <row r="709">
      <c r="R709" s="20" t="n"/>
      <c r="S709" s="20" t="n"/>
      <c r="T709" s="20" t="n"/>
    </row>
    <row r="710">
      <c r="R710" s="20" t="n"/>
      <c r="S710" s="20" t="n"/>
      <c r="T710" s="20" t="n"/>
    </row>
    <row r="711">
      <c r="R711" s="20" t="n"/>
      <c r="S711" s="20" t="n"/>
      <c r="T711" s="20" t="n"/>
    </row>
    <row r="712">
      <c r="R712" s="20" t="n"/>
      <c r="S712" s="20" t="n"/>
      <c r="T712" s="20" t="n"/>
    </row>
    <row r="713">
      <c r="R713" s="20" t="n"/>
      <c r="S713" s="20" t="n"/>
      <c r="T713" s="20" t="n"/>
    </row>
    <row r="714">
      <c r="R714" s="20" t="n"/>
      <c r="S714" s="20" t="n"/>
      <c r="T714" s="20" t="n"/>
    </row>
    <row r="715">
      <c r="R715" s="20" t="n"/>
      <c r="S715" s="20" t="n"/>
      <c r="T715" s="20" t="n"/>
    </row>
    <row r="716">
      <c r="R716" s="20" t="n"/>
      <c r="S716" s="20" t="n"/>
      <c r="T716" s="20" t="n"/>
    </row>
    <row r="717">
      <c r="R717" s="20" t="n"/>
      <c r="S717" s="20" t="n"/>
      <c r="T717" s="20" t="n"/>
    </row>
    <row r="718">
      <c r="R718" s="20" t="n"/>
      <c r="S718" s="20" t="n"/>
      <c r="T718" s="20" t="n"/>
    </row>
    <row r="719">
      <c r="R719" s="20" t="n"/>
      <c r="S719" s="20" t="n"/>
      <c r="T719" s="20" t="n"/>
    </row>
    <row r="720">
      <c r="R720" s="20" t="n"/>
      <c r="S720" s="20" t="n"/>
      <c r="T720" s="20" t="n"/>
    </row>
    <row r="721">
      <c r="R721" s="20" t="n"/>
      <c r="S721" s="20" t="n"/>
      <c r="T721" s="20" t="n"/>
    </row>
    <row r="722">
      <c r="R722" s="20" t="n"/>
      <c r="S722" s="20" t="n"/>
      <c r="T722" s="20" t="n"/>
    </row>
    <row r="723">
      <c r="R723" s="20" t="n"/>
      <c r="S723" s="20" t="n"/>
      <c r="T723" s="20" t="n"/>
    </row>
    <row r="724">
      <c r="R724" s="20" t="n"/>
      <c r="S724" s="20" t="n"/>
      <c r="T724" s="20" t="n"/>
    </row>
    <row r="725">
      <c r="R725" s="20" t="n"/>
      <c r="S725" s="20" t="n"/>
      <c r="T725" s="20" t="n"/>
    </row>
    <row r="726">
      <c r="R726" s="20" t="n"/>
      <c r="S726" s="20" t="n"/>
      <c r="T726" s="20" t="n"/>
    </row>
    <row r="727">
      <c r="R727" s="20" t="n"/>
      <c r="S727" s="20" t="n"/>
      <c r="T727" s="20" t="n"/>
    </row>
    <row r="728">
      <c r="R728" s="20" t="n"/>
      <c r="S728" s="20" t="n"/>
      <c r="T728" s="20" t="n"/>
    </row>
    <row r="729">
      <c r="R729" s="20" t="n"/>
      <c r="S729" s="20" t="n"/>
      <c r="T729" s="20" t="n"/>
    </row>
    <row r="730">
      <c r="R730" s="20" t="n"/>
      <c r="S730" s="20" t="n"/>
      <c r="T730" s="20" t="n"/>
    </row>
    <row r="731">
      <c r="R731" s="20" t="n"/>
      <c r="S731" s="20" t="n"/>
      <c r="T731" s="20" t="n"/>
    </row>
    <row r="732">
      <c r="R732" s="20" t="n"/>
      <c r="S732" s="20" t="n"/>
      <c r="T732" s="20" t="n"/>
    </row>
    <row r="733">
      <c r="R733" s="20" t="n"/>
      <c r="S733" s="20" t="n"/>
      <c r="T733" s="20" t="n"/>
    </row>
    <row r="734">
      <c r="R734" s="20" t="n"/>
      <c r="S734" s="20" t="n"/>
      <c r="T734" s="20" t="n"/>
    </row>
    <row r="735">
      <c r="R735" s="20" t="n"/>
      <c r="S735" s="20" t="n"/>
      <c r="T735" s="20" t="n"/>
    </row>
    <row r="736">
      <c r="R736" s="20" t="n"/>
      <c r="S736" s="20" t="n"/>
      <c r="T736" s="20" t="n"/>
    </row>
    <row r="737">
      <c r="R737" s="20" t="n"/>
      <c r="S737" s="20" t="n"/>
      <c r="T737" s="20" t="n"/>
    </row>
    <row r="738">
      <c r="R738" s="20" t="n"/>
      <c r="S738" s="20" t="n"/>
      <c r="T738" s="20" t="n"/>
    </row>
    <row r="739">
      <c r="R739" s="20" t="n"/>
      <c r="S739" s="20" t="n"/>
      <c r="T739" s="20" t="n"/>
    </row>
    <row r="740">
      <c r="R740" s="20" t="n"/>
      <c r="S740" s="20" t="n"/>
      <c r="T740" s="20" t="n"/>
    </row>
    <row r="741">
      <c r="R741" s="20" t="n"/>
      <c r="S741" s="20" t="n"/>
      <c r="T741" s="20" t="n"/>
    </row>
    <row r="742">
      <c r="R742" s="20" t="n"/>
      <c r="S742" s="20" t="n"/>
      <c r="T742" s="20" t="n"/>
    </row>
    <row r="743">
      <c r="R743" s="20" t="n"/>
      <c r="S743" s="20" t="n"/>
      <c r="T743" s="20" t="n"/>
    </row>
    <row r="744">
      <c r="R744" s="20" t="n"/>
      <c r="S744" s="20" t="n"/>
      <c r="T744" s="20" t="n"/>
    </row>
    <row r="745">
      <c r="R745" s="20" t="n"/>
      <c r="S745" s="20" t="n"/>
      <c r="T745" s="20" t="n"/>
    </row>
    <row r="746">
      <c r="R746" s="20" t="n"/>
      <c r="S746" s="20" t="n"/>
      <c r="T746" s="20" t="n"/>
    </row>
    <row r="747">
      <c r="R747" s="20" t="n"/>
      <c r="S747" s="20" t="n"/>
      <c r="T747" s="20" t="n"/>
    </row>
    <row r="748">
      <c r="R748" s="20" t="n"/>
      <c r="S748" s="20" t="n"/>
      <c r="T748" s="20" t="n"/>
    </row>
    <row r="749">
      <c r="R749" s="20" t="n"/>
      <c r="S749" s="20" t="n"/>
      <c r="T749" s="20" t="n"/>
    </row>
    <row r="750">
      <c r="R750" s="20" t="n"/>
      <c r="S750" s="20" t="n"/>
      <c r="T750" s="20" t="n"/>
    </row>
    <row r="751">
      <c r="R751" s="20" t="n"/>
      <c r="S751" s="20" t="n"/>
      <c r="T751" s="20" t="n"/>
    </row>
    <row r="752">
      <c r="R752" s="20" t="n"/>
      <c r="S752" s="20" t="n"/>
      <c r="T752" s="20" t="n"/>
    </row>
    <row r="753">
      <c r="R753" s="20" t="n"/>
      <c r="S753" s="20" t="n"/>
      <c r="T753" s="20" t="n"/>
    </row>
    <row r="754">
      <c r="R754" s="20" t="n"/>
      <c r="S754" s="20" t="n"/>
      <c r="T754" s="20" t="n"/>
    </row>
    <row r="755">
      <c r="R755" s="20" t="n"/>
      <c r="S755" s="20" t="n"/>
      <c r="T755" s="20" t="n"/>
    </row>
    <row r="756">
      <c r="R756" s="20" t="n"/>
      <c r="S756" s="20" t="n"/>
      <c r="T756" s="20" t="n"/>
    </row>
    <row r="757">
      <c r="R757" s="20" t="n"/>
      <c r="S757" s="20" t="n"/>
      <c r="T757" s="20" t="n"/>
    </row>
    <row r="758">
      <c r="R758" s="20" t="n"/>
      <c r="S758" s="20" t="n"/>
      <c r="T758" s="20" t="n"/>
    </row>
    <row r="759">
      <c r="R759" s="20" t="n"/>
      <c r="S759" s="20" t="n"/>
      <c r="T759" s="20" t="n"/>
    </row>
    <row r="760">
      <c r="R760" s="20" t="n"/>
      <c r="S760" s="20" t="n"/>
      <c r="T760" s="20" t="n"/>
    </row>
    <row r="761">
      <c r="R761" s="20" t="n"/>
      <c r="S761" s="20" t="n"/>
      <c r="T761" s="20" t="n"/>
    </row>
    <row r="762">
      <c r="R762" s="20" t="n"/>
      <c r="S762" s="20" t="n"/>
      <c r="T762" s="20" t="n"/>
    </row>
    <row r="763">
      <c r="R763" s="20" t="n"/>
      <c r="S763" s="20" t="n"/>
      <c r="T763" s="20" t="n"/>
    </row>
    <row r="764">
      <c r="R764" s="20" t="n"/>
      <c r="S764" s="20" t="n"/>
      <c r="T764" s="20" t="n"/>
    </row>
    <row r="765">
      <c r="R765" s="20" t="n"/>
      <c r="S765" s="20" t="n"/>
      <c r="T765" s="20" t="n"/>
    </row>
    <row r="766">
      <c r="R766" s="20" t="n"/>
      <c r="S766" s="20" t="n"/>
      <c r="T766" s="20" t="n"/>
    </row>
    <row r="767">
      <c r="R767" s="20" t="n"/>
      <c r="S767" s="20" t="n"/>
      <c r="T767" s="20" t="n"/>
    </row>
    <row r="768">
      <c r="R768" s="20" t="n"/>
      <c r="S768" s="20" t="n"/>
      <c r="T768" s="20" t="n"/>
    </row>
    <row r="769">
      <c r="R769" s="20" t="n"/>
      <c r="S769" s="20" t="n"/>
      <c r="T769" s="20" t="n"/>
    </row>
    <row r="770">
      <c r="R770" s="20" t="n"/>
      <c r="S770" s="20" t="n"/>
      <c r="T770" s="20" t="n"/>
    </row>
    <row r="771">
      <c r="R771" s="20" t="n"/>
      <c r="S771" s="20" t="n"/>
      <c r="T771" s="20" t="n"/>
    </row>
    <row r="772">
      <c r="R772" s="20" t="n"/>
      <c r="S772" s="20" t="n"/>
      <c r="T772" s="20" t="n"/>
    </row>
    <row r="773">
      <c r="R773" s="20" t="n"/>
      <c r="S773" s="20" t="n"/>
      <c r="T773" s="20" t="n"/>
    </row>
    <row r="774">
      <c r="R774" s="20" t="n"/>
      <c r="S774" s="20" t="n"/>
      <c r="T774" s="20" t="n"/>
    </row>
    <row r="775">
      <c r="R775" s="20" t="n"/>
      <c r="S775" s="20" t="n"/>
      <c r="T775" s="20" t="n"/>
    </row>
    <row r="776">
      <c r="R776" s="20" t="n"/>
      <c r="S776" s="20" t="n"/>
      <c r="T776" s="20" t="n"/>
    </row>
    <row r="777">
      <c r="R777" s="20" t="n"/>
      <c r="S777" s="20" t="n"/>
      <c r="T777" s="20" t="n"/>
    </row>
    <row r="778">
      <c r="R778" s="20" t="n"/>
      <c r="S778" s="20" t="n"/>
      <c r="T778" s="20" t="n"/>
    </row>
    <row r="779">
      <c r="R779" s="20" t="n"/>
      <c r="S779" s="20" t="n"/>
      <c r="T779" s="20" t="n"/>
    </row>
    <row r="780">
      <c r="R780" s="20" t="n"/>
      <c r="S780" s="20" t="n"/>
      <c r="T780" s="20" t="n"/>
    </row>
    <row r="781">
      <c r="R781" s="20" t="n"/>
      <c r="S781" s="20" t="n"/>
      <c r="T781" s="20" t="n"/>
    </row>
    <row r="782">
      <c r="R782" s="20" t="n"/>
      <c r="S782" s="20" t="n"/>
      <c r="T782" s="20" t="n"/>
    </row>
    <row r="783">
      <c r="R783" s="20" t="n"/>
      <c r="S783" s="20" t="n"/>
      <c r="T783" s="20" t="n"/>
    </row>
    <row r="784">
      <c r="R784" s="20" t="n"/>
      <c r="S784" s="20" t="n"/>
      <c r="T784" s="20" t="n"/>
    </row>
    <row r="785">
      <c r="R785" s="20" t="n"/>
      <c r="S785" s="20" t="n"/>
      <c r="T785" s="20" t="n"/>
    </row>
    <row r="786">
      <c r="R786" s="20" t="n"/>
      <c r="S786" s="20" t="n"/>
      <c r="T786" s="20" t="n"/>
    </row>
    <row r="787">
      <c r="R787" s="20" t="n"/>
      <c r="S787" s="20" t="n"/>
      <c r="T787" s="20" t="n"/>
    </row>
    <row r="788">
      <c r="R788" s="20" t="n"/>
      <c r="S788" s="20" t="n"/>
      <c r="T788" s="20" t="n"/>
    </row>
    <row r="789">
      <c r="R789" s="20" t="n"/>
      <c r="S789" s="20" t="n"/>
      <c r="T789" s="20" t="n"/>
    </row>
    <row r="790">
      <c r="R790" s="20" t="n"/>
      <c r="S790" s="20" t="n"/>
      <c r="T790" s="20" t="n"/>
    </row>
    <row r="791">
      <c r="R791" s="20" t="n"/>
      <c r="S791" s="20" t="n"/>
      <c r="T791" s="20" t="n"/>
    </row>
    <row r="792">
      <c r="R792" s="20" t="n"/>
      <c r="S792" s="20" t="n"/>
      <c r="T792" s="20" t="n"/>
    </row>
    <row r="793">
      <c r="R793" s="20" t="n"/>
      <c r="S793" s="20" t="n"/>
      <c r="T793" s="20" t="n"/>
    </row>
    <row r="794">
      <c r="R794" s="20" t="n"/>
      <c r="S794" s="20" t="n"/>
      <c r="T794" s="20" t="n"/>
    </row>
    <row r="795">
      <c r="R795" s="20" t="n"/>
      <c r="S795" s="20" t="n"/>
      <c r="T795" s="20" t="n"/>
    </row>
    <row r="796">
      <c r="R796" s="20" t="n"/>
      <c r="S796" s="20" t="n"/>
      <c r="T796" s="20" t="n"/>
    </row>
    <row r="797">
      <c r="R797" s="20" t="n"/>
      <c r="S797" s="20" t="n"/>
      <c r="T797" s="20" t="n"/>
    </row>
    <row r="798">
      <c r="R798" s="20" t="n"/>
      <c r="S798" s="20" t="n"/>
      <c r="T798" s="20" t="n"/>
    </row>
    <row r="799">
      <c r="R799" s="20" t="n"/>
      <c r="S799" s="20" t="n"/>
      <c r="T799" s="20" t="n"/>
    </row>
    <row r="800">
      <c r="R800" s="20" t="n"/>
      <c r="S800" s="20" t="n"/>
      <c r="T800" s="20" t="n"/>
    </row>
    <row r="801">
      <c r="R801" s="20" t="n"/>
      <c r="S801" s="20" t="n"/>
      <c r="T801" s="20" t="n"/>
    </row>
    <row r="802">
      <c r="R802" s="20" t="n"/>
      <c r="S802" s="20" t="n"/>
      <c r="T802" s="20" t="n"/>
    </row>
    <row r="803">
      <c r="R803" s="20" t="n"/>
      <c r="S803" s="20" t="n"/>
      <c r="T803" s="20" t="n"/>
    </row>
    <row r="804">
      <c r="R804" s="20" t="n"/>
      <c r="S804" s="20" t="n"/>
      <c r="T804" s="20" t="n"/>
    </row>
    <row r="805">
      <c r="R805" s="20" t="n"/>
      <c r="S805" s="20" t="n"/>
      <c r="T805" s="20" t="n"/>
    </row>
    <row r="806">
      <c r="R806" s="20" t="n"/>
      <c r="S806" s="20" t="n"/>
      <c r="T806" s="20" t="n"/>
    </row>
    <row r="807">
      <c r="R807" s="20" t="n"/>
      <c r="S807" s="20" t="n"/>
      <c r="T807" s="20" t="n"/>
    </row>
    <row r="808">
      <c r="R808" s="20" t="n"/>
      <c r="S808" s="20" t="n"/>
      <c r="T808" s="20" t="n"/>
    </row>
    <row r="809">
      <c r="R809" s="20" t="n"/>
      <c r="S809" s="20" t="n"/>
      <c r="T809" s="20" t="n"/>
    </row>
    <row r="810">
      <c r="R810" s="20" t="n"/>
      <c r="S810" s="20" t="n"/>
      <c r="T810" s="20" t="n"/>
    </row>
    <row r="811">
      <c r="R811" s="20" t="n"/>
      <c r="S811" s="20" t="n"/>
      <c r="T811" s="20" t="n"/>
    </row>
    <row r="812">
      <c r="R812" s="20" t="n"/>
      <c r="S812" s="20" t="n"/>
      <c r="T812" s="20" t="n"/>
    </row>
    <row r="813">
      <c r="R813" s="20" t="n"/>
      <c r="S813" s="20" t="n"/>
      <c r="T813" s="20" t="n"/>
    </row>
    <row r="814">
      <c r="R814" s="20" t="n"/>
      <c r="S814" s="20" t="n"/>
      <c r="T814" s="20" t="n"/>
    </row>
    <row r="815">
      <c r="R815" s="20" t="n"/>
      <c r="S815" s="20" t="n"/>
      <c r="T815" s="20" t="n"/>
    </row>
    <row r="816">
      <c r="R816" s="20" t="n"/>
      <c r="S816" s="20" t="n"/>
      <c r="T816" s="20" t="n"/>
    </row>
    <row r="817">
      <c r="R817" s="20" t="n"/>
      <c r="S817" s="20" t="n"/>
      <c r="T817" s="20" t="n"/>
    </row>
    <row r="818">
      <c r="R818" s="20" t="n"/>
      <c r="S818" s="20" t="n"/>
      <c r="T818" s="20" t="n"/>
    </row>
    <row r="819">
      <c r="R819" s="20" t="n"/>
      <c r="S819" s="20" t="n"/>
      <c r="T819" s="20" t="n"/>
    </row>
    <row r="820">
      <c r="R820" s="20" t="n"/>
      <c r="S820" s="20" t="n"/>
      <c r="T820" s="20" t="n"/>
    </row>
    <row r="821">
      <c r="R821" s="20" t="n"/>
      <c r="S821" s="20" t="n"/>
      <c r="T821" s="20" t="n"/>
    </row>
    <row r="822">
      <c r="R822" s="20" t="n"/>
      <c r="S822" s="20" t="n"/>
      <c r="T822" s="20" t="n"/>
    </row>
    <row r="823">
      <c r="R823" s="20" t="n"/>
      <c r="S823" s="20" t="n"/>
      <c r="T823" s="20" t="n"/>
    </row>
    <row r="824">
      <c r="R824" s="20" t="n"/>
      <c r="S824" s="20" t="n"/>
      <c r="T824" s="20" t="n"/>
    </row>
    <row r="825">
      <c r="R825" s="20" t="n"/>
      <c r="S825" s="20" t="n"/>
      <c r="T825" s="20" t="n"/>
    </row>
    <row r="826">
      <c r="R826" s="20" t="n"/>
      <c r="S826" s="20" t="n"/>
      <c r="T826" s="20" t="n"/>
    </row>
    <row r="827">
      <c r="R827" s="20" t="n"/>
      <c r="S827" s="20" t="n"/>
      <c r="T827" s="20" t="n"/>
    </row>
    <row r="828">
      <c r="R828" s="20" t="n"/>
      <c r="S828" s="20" t="n"/>
      <c r="T828" s="20" t="n"/>
    </row>
    <row r="829">
      <c r="R829" s="20" t="n"/>
      <c r="S829" s="20" t="n"/>
      <c r="T829" s="20" t="n"/>
    </row>
    <row r="830">
      <c r="R830" s="20" t="n"/>
      <c r="S830" s="20" t="n"/>
      <c r="T830" s="20" t="n"/>
    </row>
    <row r="831">
      <c r="R831" s="20" t="n"/>
      <c r="S831" s="20" t="n"/>
      <c r="T831" s="20" t="n"/>
    </row>
    <row r="832">
      <c r="R832" s="20" t="n"/>
      <c r="S832" s="20" t="n"/>
      <c r="T832" s="20" t="n"/>
    </row>
    <row r="833">
      <c r="R833" s="20" t="n"/>
      <c r="S833" s="20" t="n"/>
      <c r="T833" s="20" t="n"/>
    </row>
    <row r="834">
      <c r="R834" s="20" t="n"/>
      <c r="S834" s="20" t="n"/>
      <c r="T834" s="20" t="n"/>
    </row>
    <row r="835">
      <c r="R835" s="20" t="n"/>
      <c r="S835" s="20" t="n"/>
      <c r="T835" s="20" t="n"/>
    </row>
    <row r="836">
      <c r="R836" s="20" t="n"/>
      <c r="S836" s="20" t="n"/>
      <c r="T836" s="20" t="n"/>
    </row>
    <row r="837">
      <c r="R837" s="20" t="n"/>
      <c r="S837" s="20" t="n"/>
      <c r="T837" s="20" t="n"/>
    </row>
    <row r="838">
      <c r="R838" s="20" t="n"/>
      <c r="S838" s="20" t="n"/>
      <c r="T838" s="20" t="n"/>
    </row>
    <row r="839">
      <c r="R839" s="20" t="n"/>
      <c r="S839" s="20" t="n"/>
      <c r="T839" s="20" t="n"/>
    </row>
    <row r="840">
      <c r="R840" s="20" t="n"/>
      <c r="S840" s="20" t="n"/>
      <c r="T840" s="20" t="n"/>
    </row>
    <row r="841">
      <c r="R841" s="20" t="n"/>
      <c r="S841" s="20" t="n"/>
      <c r="T841" s="20" t="n"/>
    </row>
    <row r="842">
      <c r="R842" s="20" t="n"/>
      <c r="S842" s="20" t="n"/>
      <c r="T842" s="20" t="n"/>
    </row>
    <row r="843">
      <c r="R843" s="20" t="n"/>
      <c r="S843" s="20" t="n"/>
      <c r="T843" s="20" t="n"/>
    </row>
    <row r="844">
      <c r="R844" s="20" t="n"/>
      <c r="S844" s="20" t="n"/>
      <c r="T844" s="20" t="n"/>
    </row>
    <row r="845">
      <c r="R845" s="20" t="n"/>
      <c r="S845" s="20" t="n"/>
      <c r="T845" s="20" t="n"/>
    </row>
    <row r="846">
      <c r="R846" s="20" t="n"/>
      <c r="S846" s="20" t="n"/>
      <c r="T846" s="20" t="n"/>
    </row>
    <row r="847">
      <c r="R847" s="20" t="n"/>
      <c r="S847" s="20" t="n"/>
      <c r="T847" s="20" t="n"/>
    </row>
    <row r="848">
      <c r="R848" s="20" t="n"/>
      <c r="S848" s="20" t="n"/>
      <c r="T848" s="20" t="n"/>
    </row>
    <row r="849">
      <c r="R849" s="20" t="n"/>
      <c r="S849" s="20" t="n"/>
      <c r="T849" s="20" t="n"/>
    </row>
    <row r="850">
      <c r="R850" s="20" t="n"/>
      <c r="S850" s="20" t="n"/>
      <c r="T850" s="20" t="n"/>
    </row>
    <row r="851">
      <c r="R851" s="20" t="n"/>
      <c r="S851" s="20" t="n"/>
      <c r="T851" s="20" t="n"/>
    </row>
    <row r="852">
      <c r="R852" s="20" t="n"/>
      <c r="S852" s="20" t="n"/>
      <c r="T852" s="20" t="n"/>
    </row>
    <row r="853">
      <c r="R853" s="20" t="n"/>
      <c r="S853" s="20" t="n"/>
      <c r="T853" s="20" t="n"/>
    </row>
    <row r="854">
      <c r="R854" s="20" t="n"/>
      <c r="S854" s="20" t="n"/>
      <c r="T854" s="20" t="n"/>
    </row>
    <row r="855">
      <c r="R855" s="20" t="n"/>
      <c r="S855" s="20" t="n"/>
      <c r="T855" s="20" t="n"/>
    </row>
    <row r="856">
      <c r="R856" s="20" t="n"/>
      <c r="S856" s="20" t="n"/>
      <c r="T856" s="20" t="n"/>
    </row>
    <row r="857">
      <c r="R857" s="20" t="n"/>
      <c r="S857" s="20" t="n"/>
      <c r="T857" s="20" t="n"/>
    </row>
    <row r="858">
      <c r="R858" s="20" t="n"/>
      <c r="S858" s="20" t="n"/>
      <c r="T858" s="20" t="n"/>
    </row>
    <row r="859">
      <c r="R859" s="20" t="n"/>
      <c r="S859" s="20" t="n"/>
      <c r="T859" s="20" t="n"/>
    </row>
    <row r="860">
      <c r="R860" s="20" t="n"/>
      <c r="S860" s="20" t="n"/>
      <c r="T860" s="20" t="n"/>
    </row>
    <row r="861">
      <c r="R861" s="20" t="n"/>
      <c r="S861" s="20" t="n"/>
      <c r="T861" s="20" t="n"/>
    </row>
    <row r="862">
      <c r="R862" s="20" t="n"/>
      <c r="S862" s="20" t="n"/>
      <c r="T862" s="20" t="n"/>
    </row>
    <row r="863">
      <c r="R863" s="20" t="n"/>
      <c r="S863" s="20" t="n"/>
      <c r="T863" s="20" t="n"/>
    </row>
    <row r="864">
      <c r="R864" s="20" t="n"/>
      <c r="S864" s="20" t="n"/>
      <c r="T864" s="20" t="n"/>
    </row>
    <row r="865">
      <c r="R865" s="20" t="n"/>
      <c r="S865" s="20" t="n"/>
      <c r="T865" s="20" t="n"/>
    </row>
    <row r="866">
      <c r="R866" s="20" t="n"/>
      <c r="S866" s="20" t="n"/>
      <c r="T866" s="20" t="n"/>
    </row>
    <row r="867">
      <c r="R867" s="20" t="n"/>
      <c r="S867" s="20" t="n"/>
      <c r="T867" s="20" t="n"/>
    </row>
    <row r="868">
      <c r="R868" s="20" t="n"/>
      <c r="S868" s="20" t="n"/>
      <c r="T868" s="20" t="n"/>
    </row>
    <row r="869">
      <c r="R869" s="20" t="n"/>
      <c r="S869" s="20" t="n"/>
      <c r="T869" s="20" t="n"/>
    </row>
    <row r="870">
      <c r="R870" s="20" t="n"/>
      <c r="S870" s="20" t="n"/>
      <c r="T870" s="20" t="n"/>
    </row>
    <row r="871">
      <c r="R871" s="20" t="n"/>
      <c r="S871" s="20" t="n"/>
      <c r="T871" s="20" t="n"/>
    </row>
    <row r="872">
      <c r="R872" s="20" t="n"/>
      <c r="S872" s="20" t="n"/>
      <c r="T872" s="20" t="n"/>
    </row>
    <row r="873">
      <c r="R873" s="20" t="n"/>
      <c r="S873" s="20" t="n"/>
      <c r="T873" s="20" t="n"/>
    </row>
    <row r="874">
      <c r="R874" s="20" t="n"/>
      <c r="S874" s="20" t="n"/>
      <c r="T874" s="20" t="n"/>
    </row>
    <row r="875">
      <c r="R875" s="20" t="n"/>
      <c r="S875" s="20" t="n"/>
      <c r="T875" s="20" t="n"/>
    </row>
    <row r="876">
      <c r="R876" s="20" t="n"/>
      <c r="S876" s="20" t="n"/>
      <c r="T876" s="20" t="n"/>
    </row>
    <row r="877">
      <c r="R877" s="20" t="n"/>
      <c r="S877" s="20" t="n"/>
      <c r="T877" s="20" t="n"/>
    </row>
    <row r="878">
      <c r="R878" s="20" t="n"/>
      <c r="S878" s="20" t="n"/>
      <c r="T878" s="20" t="n"/>
    </row>
    <row r="879">
      <c r="R879" s="20" t="n"/>
      <c r="S879" s="20" t="n"/>
      <c r="T879" s="20" t="n"/>
    </row>
    <row r="880">
      <c r="R880" s="20" t="n"/>
      <c r="S880" s="20" t="n"/>
      <c r="T880" s="20" t="n"/>
    </row>
    <row r="881">
      <c r="R881" s="20" t="n"/>
      <c r="S881" s="20" t="n"/>
      <c r="T881" s="20" t="n"/>
    </row>
    <row r="882">
      <c r="R882" s="20" t="n"/>
      <c r="S882" s="20" t="n"/>
      <c r="T882" s="20" t="n"/>
    </row>
    <row r="883">
      <c r="R883" s="20" t="n"/>
      <c r="S883" s="20" t="n"/>
      <c r="T883" s="20" t="n"/>
    </row>
    <row r="884">
      <c r="R884" s="20" t="n"/>
      <c r="S884" s="20" t="n"/>
      <c r="T884" s="20" t="n"/>
    </row>
    <row r="885">
      <c r="R885" s="20" t="n"/>
      <c r="S885" s="20" t="n"/>
      <c r="T885" s="20" t="n"/>
    </row>
    <row r="886">
      <c r="R886" s="20" t="n"/>
      <c r="S886" s="20" t="n"/>
      <c r="T886" s="20" t="n"/>
    </row>
    <row r="887">
      <c r="R887" s="20" t="n"/>
      <c r="S887" s="20" t="n"/>
      <c r="T887" s="20" t="n"/>
    </row>
    <row r="888">
      <c r="R888" s="20" t="n"/>
      <c r="S888" s="20" t="n"/>
      <c r="T888" s="20" t="n"/>
    </row>
    <row r="889">
      <c r="R889" s="20" t="n"/>
      <c r="S889" s="20" t="n"/>
      <c r="T889" s="20" t="n"/>
    </row>
    <row r="890">
      <c r="R890" s="20" t="n"/>
      <c r="S890" s="20" t="n"/>
      <c r="T890" s="20" t="n"/>
    </row>
    <row r="891">
      <c r="R891" s="20" t="n"/>
      <c r="S891" s="20" t="n"/>
      <c r="T891" s="20" t="n"/>
    </row>
    <row r="892">
      <c r="R892" s="20" t="n"/>
      <c r="S892" s="20" t="n"/>
      <c r="T892" s="20" t="n"/>
    </row>
    <row r="893">
      <c r="R893" s="20" t="n"/>
      <c r="S893" s="20" t="n"/>
      <c r="T893" s="20" t="n"/>
    </row>
    <row r="894">
      <c r="R894" s="20" t="n"/>
      <c r="S894" s="20" t="n"/>
      <c r="T894" s="20" t="n"/>
    </row>
    <row r="895">
      <c r="R895" s="20" t="n"/>
      <c r="S895" s="20" t="n"/>
      <c r="T895" s="20" t="n"/>
    </row>
    <row r="896">
      <c r="R896" s="20" t="n"/>
      <c r="S896" s="20" t="n"/>
      <c r="T896" s="20" t="n"/>
    </row>
    <row r="897">
      <c r="R897" s="20" t="n"/>
      <c r="S897" s="20" t="n"/>
      <c r="T897" s="20" t="n"/>
    </row>
    <row r="898">
      <c r="R898" s="20" t="n"/>
      <c r="S898" s="20" t="n"/>
      <c r="T898" s="20" t="n"/>
    </row>
    <row r="899">
      <c r="R899" s="20" t="n"/>
      <c r="S899" s="20" t="n"/>
      <c r="T899" s="20" t="n"/>
    </row>
    <row r="900">
      <c r="R900" s="20" t="n"/>
      <c r="S900" s="20" t="n"/>
      <c r="T900" s="20" t="n"/>
    </row>
    <row r="901">
      <c r="R901" s="20" t="n"/>
      <c r="S901" s="20" t="n"/>
      <c r="T901" s="20" t="n"/>
    </row>
    <row r="902">
      <c r="R902" s="20" t="n"/>
      <c r="S902" s="20" t="n"/>
      <c r="T902" s="20" t="n"/>
    </row>
    <row r="903">
      <c r="R903" s="20" t="n"/>
      <c r="S903" s="20" t="n"/>
      <c r="T903" s="20" t="n"/>
    </row>
    <row r="904">
      <c r="R904" s="20" t="n"/>
      <c r="S904" s="20" t="n"/>
      <c r="T904" s="20" t="n"/>
    </row>
    <row r="905">
      <c r="R905" s="20" t="n"/>
      <c r="S905" s="20" t="n"/>
      <c r="T905" s="20" t="n"/>
    </row>
    <row r="906">
      <c r="R906" s="20" t="n"/>
      <c r="S906" s="20" t="n"/>
      <c r="T906" s="20" t="n"/>
    </row>
    <row r="907">
      <c r="R907" s="20" t="n"/>
      <c r="S907" s="20" t="n"/>
      <c r="T907" s="20" t="n"/>
    </row>
    <row r="908">
      <c r="R908" s="20" t="n"/>
      <c r="S908" s="20" t="n"/>
      <c r="T908" s="20" t="n"/>
    </row>
    <row r="909">
      <c r="R909" s="20" t="n"/>
      <c r="S909" s="20" t="n"/>
      <c r="T909" s="20" t="n"/>
    </row>
    <row r="910">
      <c r="R910" s="20" t="n"/>
      <c r="S910" s="20" t="n"/>
      <c r="T910" s="20" t="n"/>
    </row>
    <row r="911">
      <c r="R911" s="20" t="n"/>
      <c r="S911" s="20" t="n"/>
      <c r="T911" s="20" t="n"/>
    </row>
    <row r="912">
      <c r="R912" s="20" t="n"/>
      <c r="S912" s="20" t="n"/>
      <c r="T912" s="20" t="n"/>
    </row>
    <row r="913">
      <c r="R913" s="20" t="n"/>
      <c r="S913" s="20" t="n"/>
      <c r="T913" s="20" t="n"/>
    </row>
    <row r="914">
      <c r="R914" s="20" t="n"/>
      <c r="S914" s="20" t="n"/>
      <c r="T914" s="20" t="n"/>
    </row>
    <row r="915">
      <c r="R915" s="20" t="n"/>
      <c r="S915" s="20" t="n"/>
      <c r="T915" s="20" t="n"/>
    </row>
    <row r="916">
      <c r="R916" s="20" t="n"/>
      <c r="S916" s="20" t="n"/>
      <c r="T916" s="20" t="n"/>
    </row>
    <row r="917">
      <c r="R917" s="20" t="n"/>
      <c r="S917" s="20" t="n"/>
      <c r="T917" s="20" t="n"/>
    </row>
    <row r="918">
      <c r="R918" s="20" t="n"/>
      <c r="S918" s="20" t="n"/>
      <c r="T918" s="20" t="n"/>
    </row>
    <row r="919">
      <c r="R919" s="20" t="n"/>
      <c r="S919" s="20" t="n"/>
      <c r="T919" s="20" t="n"/>
    </row>
    <row r="920">
      <c r="R920" s="20" t="n"/>
      <c r="S920" s="20" t="n"/>
      <c r="T920" s="20" t="n"/>
    </row>
    <row r="921">
      <c r="R921" s="20" t="n"/>
      <c r="S921" s="20" t="n"/>
      <c r="T921" s="20" t="n"/>
    </row>
    <row r="922">
      <c r="R922" s="20" t="n"/>
      <c r="S922" s="20" t="n"/>
      <c r="T922" s="20" t="n"/>
    </row>
    <row r="923">
      <c r="R923" s="20" t="n"/>
      <c r="S923" s="20" t="n"/>
      <c r="T923" s="20" t="n"/>
    </row>
    <row r="924">
      <c r="R924" s="20" t="n"/>
      <c r="S924" s="20" t="n"/>
      <c r="T924" s="20" t="n"/>
    </row>
    <row r="925">
      <c r="R925" s="20" t="n"/>
      <c r="S925" s="20" t="n"/>
      <c r="T925" s="20" t="n"/>
    </row>
    <row r="926">
      <c r="R926" s="20" t="n"/>
      <c r="S926" s="20" t="n"/>
      <c r="T926" s="20" t="n"/>
    </row>
    <row r="927">
      <c r="R927" s="20" t="n"/>
      <c r="S927" s="20" t="n"/>
      <c r="T927" s="20" t="n"/>
    </row>
    <row r="928">
      <c r="R928" s="20" t="n"/>
      <c r="S928" s="20" t="n"/>
      <c r="T928" s="20" t="n"/>
    </row>
    <row r="929">
      <c r="R929" s="20" t="n"/>
      <c r="S929" s="20" t="n"/>
      <c r="T929" s="20" t="n"/>
    </row>
    <row r="930">
      <c r="R930" s="20" t="n"/>
      <c r="S930" s="20" t="n"/>
      <c r="T930" s="20" t="n"/>
    </row>
    <row r="931">
      <c r="R931" s="20" t="n"/>
      <c r="S931" s="20" t="n"/>
      <c r="T931" s="20" t="n"/>
    </row>
    <row r="932">
      <c r="R932" s="20" t="n"/>
      <c r="S932" s="20" t="n"/>
      <c r="T932" s="20" t="n"/>
    </row>
    <row r="933">
      <c r="R933" s="20" t="n"/>
      <c r="S933" s="20" t="n"/>
      <c r="T933" s="20" t="n"/>
    </row>
    <row r="934">
      <c r="R934" s="20" t="n"/>
      <c r="S934" s="20" t="n"/>
      <c r="T934" s="20" t="n"/>
    </row>
    <row r="935">
      <c r="R935" s="20" t="n"/>
      <c r="S935" s="20" t="n"/>
      <c r="T935" s="20" t="n"/>
    </row>
    <row r="936">
      <c r="R936" s="20" t="n"/>
      <c r="S936" s="20" t="n"/>
      <c r="T936" s="20" t="n"/>
    </row>
    <row r="937">
      <c r="R937" s="20" t="n"/>
      <c r="S937" s="20" t="n"/>
      <c r="T937" s="20" t="n"/>
    </row>
    <row r="938">
      <c r="R938" s="20" t="n"/>
      <c r="S938" s="20" t="n"/>
      <c r="T938" s="20" t="n"/>
    </row>
    <row r="939">
      <c r="R939" s="20" t="n"/>
      <c r="S939" s="20" t="n"/>
      <c r="T939" s="20" t="n"/>
    </row>
    <row r="940">
      <c r="R940" s="20" t="n"/>
      <c r="S940" s="20" t="n"/>
      <c r="T940" s="20" t="n"/>
    </row>
    <row r="941">
      <c r="R941" s="20" t="n"/>
      <c r="S941" s="20" t="n"/>
      <c r="T941" s="20" t="n"/>
    </row>
    <row r="942">
      <c r="R942" s="20" t="n"/>
      <c r="S942" s="20" t="n"/>
      <c r="T942" s="20" t="n"/>
    </row>
    <row r="943">
      <c r="R943" s="20" t="n"/>
      <c r="S943" s="20" t="n"/>
      <c r="T943" s="20" t="n"/>
    </row>
    <row r="944">
      <c r="R944" s="20" t="n"/>
      <c r="S944" s="20" t="n"/>
      <c r="T944" s="20" t="n"/>
    </row>
    <row r="945">
      <c r="R945" s="20" t="n"/>
      <c r="S945" s="20" t="n"/>
      <c r="T945" s="20" t="n"/>
    </row>
    <row r="946">
      <c r="R946" s="20" t="n"/>
      <c r="S946" s="20" t="n"/>
      <c r="T946" s="20" t="n"/>
    </row>
    <row r="947">
      <c r="R947" s="20" t="n"/>
      <c r="S947" s="20" t="n"/>
      <c r="T947" s="20" t="n"/>
    </row>
    <row r="948">
      <c r="R948" s="20" t="n"/>
      <c r="S948" s="20" t="n"/>
      <c r="T948" s="20" t="n"/>
    </row>
    <row r="949">
      <c r="R949" s="20" t="n"/>
      <c r="S949" s="20" t="n"/>
      <c r="T949" s="20" t="n"/>
    </row>
    <row r="950">
      <c r="R950" s="20" t="n"/>
      <c r="S950" s="20" t="n"/>
      <c r="T950" s="20" t="n"/>
    </row>
    <row r="951">
      <c r="R951" s="20" t="n"/>
      <c r="S951" s="20" t="n"/>
      <c r="T951" s="20" t="n"/>
    </row>
    <row r="952">
      <c r="R952" s="20" t="n"/>
      <c r="S952" s="20" t="n"/>
      <c r="T952" s="20" t="n"/>
    </row>
    <row r="953">
      <c r="R953" s="20" t="n"/>
      <c r="S953" s="20" t="n"/>
      <c r="T953" s="20" t="n"/>
    </row>
    <row r="954">
      <c r="R954" s="20" t="n"/>
      <c r="S954" s="20" t="n"/>
      <c r="T954" s="20" t="n"/>
    </row>
    <row r="955">
      <c r="R955" s="20" t="n"/>
      <c r="S955" s="20" t="n"/>
      <c r="T955" s="20" t="n"/>
    </row>
    <row r="956">
      <c r="R956" s="20" t="n"/>
      <c r="S956" s="20" t="n"/>
      <c r="T956" s="20" t="n"/>
    </row>
    <row r="957">
      <c r="R957" s="20" t="n"/>
      <c r="S957" s="20" t="n"/>
      <c r="T957" s="20" t="n"/>
    </row>
    <row r="958">
      <c r="R958" s="20" t="n"/>
      <c r="S958" s="20" t="n"/>
      <c r="T958" s="20" t="n"/>
    </row>
    <row r="959">
      <c r="R959" s="20" t="n"/>
      <c r="S959" s="20" t="n"/>
      <c r="T959" s="20" t="n"/>
    </row>
    <row r="960">
      <c r="R960" s="20" t="n"/>
      <c r="S960" s="20" t="n"/>
      <c r="T960" s="20" t="n"/>
    </row>
    <row r="961">
      <c r="R961" s="20" t="n"/>
      <c r="S961" s="20" t="n"/>
      <c r="T961" s="20" t="n"/>
    </row>
    <row r="962">
      <c r="R962" s="20" t="n"/>
      <c r="S962" s="20" t="n"/>
      <c r="T962" s="20" t="n"/>
    </row>
    <row r="963">
      <c r="R963" s="20" t="n"/>
      <c r="S963" s="20" t="n"/>
      <c r="T963" s="20" t="n"/>
    </row>
    <row r="964">
      <c r="R964" s="20" t="n"/>
      <c r="S964" s="20" t="n"/>
      <c r="T964" s="20" t="n"/>
    </row>
    <row r="965">
      <c r="R965" s="20" t="n"/>
      <c r="S965" s="20" t="n"/>
      <c r="T965" s="20" t="n"/>
    </row>
    <row r="966">
      <c r="R966" s="20" t="n"/>
      <c r="S966" s="20" t="n"/>
      <c r="T966" s="20" t="n"/>
    </row>
    <row r="967">
      <c r="R967" s="20" t="n"/>
      <c r="S967" s="20" t="n"/>
      <c r="T967" s="20" t="n"/>
    </row>
    <row r="968">
      <c r="R968" s="20" t="n"/>
      <c r="S968" s="20" t="n"/>
      <c r="T968" s="20" t="n"/>
    </row>
    <row r="969">
      <c r="R969" s="20" t="n"/>
      <c r="S969" s="20" t="n"/>
      <c r="T969" s="20" t="n"/>
    </row>
    <row r="970">
      <c r="R970" s="20" t="n"/>
      <c r="S970" s="20" t="n"/>
      <c r="T970" s="20" t="n"/>
    </row>
    <row r="971">
      <c r="R971" s="20" t="n"/>
      <c r="S971" s="20" t="n"/>
      <c r="T971" s="20" t="n"/>
    </row>
    <row r="972">
      <c r="R972" s="20" t="n"/>
      <c r="S972" s="20" t="n"/>
      <c r="T972" s="20" t="n"/>
    </row>
    <row r="973">
      <c r="R973" s="20" t="n"/>
      <c r="S973" s="20" t="n"/>
      <c r="T973" s="20" t="n"/>
    </row>
    <row r="974">
      <c r="R974" s="20" t="n"/>
      <c r="S974" s="20" t="n"/>
      <c r="T974" s="20" t="n"/>
    </row>
    <row r="975">
      <c r="R975" s="20" t="n"/>
      <c r="S975" s="20" t="n"/>
      <c r="T975" s="20" t="n"/>
    </row>
    <row r="976">
      <c r="R976" s="20" t="n"/>
      <c r="S976" s="20" t="n"/>
      <c r="T976" s="20" t="n"/>
    </row>
    <row r="977">
      <c r="R977" s="20" t="n"/>
      <c r="S977" s="20" t="n"/>
      <c r="T977" s="20" t="n"/>
    </row>
    <row r="978">
      <c r="R978" s="20" t="n"/>
      <c r="S978" s="20" t="n"/>
      <c r="T978" s="20" t="n"/>
    </row>
    <row r="979">
      <c r="R979" s="20" t="n"/>
      <c r="S979" s="20" t="n"/>
      <c r="T979" s="20" t="n"/>
    </row>
    <row r="980">
      <c r="R980" s="20" t="n"/>
      <c r="S980" s="20" t="n"/>
      <c r="T980" s="20" t="n"/>
    </row>
    <row r="981">
      <c r="R981" s="20" t="n"/>
      <c r="S981" s="20" t="n"/>
      <c r="T981" s="20" t="n"/>
    </row>
    <row r="982">
      <c r="R982" s="20" t="n"/>
      <c r="S982" s="20" t="n"/>
      <c r="T982" s="20" t="n"/>
    </row>
    <row r="983">
      <c r="R983" s="20" t="n"/>
      <c r="S983" s="20" t="n"/>
      <c r="T983" s="20" t="n"/>
    </row>
    <row r="984">
      <c r="R984" s="20" t="n"/>
      <c r="S984" s="20" t="n"/>
      <c r="T984" s="20" t="n"/>
    </row>
    <row r="985">
      <c r="R985" s="20" t="n"/>
      <c r="S985" s="20" t="n"/>
      <c r="T985" s="20" t="n"/>
    </row>
    <row r="986">
      <c r="R986" s="20" t="n"/>
      <c r="S986" s="20" t="n"/>
      <c r="T986" s="20" t="n"/>
    </row>
    <row r="987">
      <c r="R987" s="20" t="n"/>
      <c r="S987" s="20" t="n"/>
      <c r="T987" s="20" t="n"/>
    </row>
    <row r="988">
      <c r="R988" s="20" t="n"/>
      <c r="S988" s="20" t="n"/>
      <c r="T988" s="20" t="n"/>
    </row>
    <row r="989">
      <c r="R989" s="20" t="n"/>
      <c r="S989" s="20" t="n"/>
      <c r="T989" s="20" t="n"/>
    </row>
    <row r="990">
      <c r="R990" s="20" t="n"/>
      <c r="S990" s="20" t="n"/>
      <c r="T990" s="20" t="n"/>
    </row>
    <row r="991">
      <c r="R991" s="20" t="n"/>
      <c r="S991" s="20" t="n"/>
      <c r="T991" s="20" t="n"/>
    </row>
    <row r="992">
      <c r="R992" s="20" t="n"/>
      <c r="S992" s="20" t="n"/>
      <c r="T992" s="20" t="n"/>
    </row>
    <row r="993">
      <c r="R993" s="20" t="n"/>
      <c r="S993" s="20" t="n"/>
      <c r="T993" s="20" t="n"/>
    </row>
    <row r="994">
      <c r="R994" s="20" t="n"/>
      <c r="S994" s="20" t="n"/>
      <c r="T994" s="20" t="n"/>
    </row>
    <row r="995">
      <c r="R995" s="20" t="n"/>
      <c r="S995" s="20" t="n"/>
      <c r="T995" s="20" t="n"/>
    </row>
    <row r="996">
      <c r="R996" s="20" t="n"/>
      <c r="S996" s="20" t="n"/>
      <c r="T996" s="20" t="n"/>
    </row>
    <row r="997">
      <c r="R997" s="20" t="n"/>
      <c r="S997" s="20" t="n"/>
      <c r="T997" s="20" t="n"/>
    </row>
    <row r="998">
      <c r="R998" s="20" t="n"/>
      <c r="S998" s="20" t="n"/>
      <c r="T998" s="20" t="n"/>
    </row>
    <row r="999">
      <c r="R999" s="20" t="n"/>
      <c r="S999" s="20" t="n"/>
      <c r="T999" s="20" t="n"/>
    </row>
    <row r="1000">
      <c r="R1000" s="20" t="n"/>
      <c r="S1000" s="20" t="n"/>
      <c r="T1000" s="20" t="n"/>
    </row>
    <row r="1001">
      <c r="R1001" s="20" t="n"/>
      <c r="S1001" s="20" t="n"/>
      <c r="T1001" s="20" t="n"/>
    </row>
    <row r="1002">
      <c r="R1002" s="20" t="n"/>
      <c r="S1002" s="20" t="n"/>
      <c r="T1002" s="20" t="n"/>
    </row>
    <row r="1003">
      <c r="R1003" s="20" t="n"/>
      <c r="S1003" s="20" t="n"/>
      <c r="T1003" s="2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18" customWidth="1" style="70" min="1" max="1"/>
    <col width="24.43" customWidth="1" style="70" min="2" max="2"/>
    <col width="24.71" customWidth="1" style="70" min="3" max="3"/>
    <col width="24.43" customWidth="1" style="70" min="4" max="4"/>
    <col width="16" customWidth="1" style="70" min="5" max="5"/>
    <col width="27.57" customWidth="1" style="70" min="6" max="6"/>
    <col width="27.86" customWidth="1" style="70" min="7" max="7"/>
    <col width="8.710000000000001" customWidth="1" style="70" min="8" max="26"/>
  </cols>
  <sheetData>
    <row r="1" ht="27.75" customHeight="1" s="70">
      <c r="A1" s="72" t="inlineStr">
        <is>
          <t>⚔️  WEAPON TIER PROGRESSION  (formulas pull from 'Weapon Base Stats')</t>
        </is>
      </c>
    </row>
    <row r="2" ht="21.75" customHeight="1" s="70">
      <c r="A2" s="23" t="inlineStr">
        <is>
          <t>Weapon</t>
        </is>
      </c>
      <c r="B2" s="23" t="inlineStr">
        <is>
          <t>Stat</t>
        </is>
      </c>
      <c r="C2" s="23" t="inlineStr">
        <is>
          <t>Tier 1</t>
        </is>
      </c>
      <c r="D2" s="23" t="inlineStr">
        <is>
          <t>Tier 2</t>
        </is>
      </c>
      <c r="E2" s="23" t="inlineStr">
        <is>
          <t>Tier 3</t>
        </is>
      </c>
      <c r="F2" s="23" t="inlineStr">
        <is>
          <t>Tier 4</t>
        </is>
      </c>
      <c r="G2" s="23" t="inlineStr">
        <is>
          <t>Tier 5</t>
        </is>
      </c>
    </row>
    <row r="3" ht="15" customHeight="1" s="70">
      <c r="A3" s="73" t="n"/>
      <c r="B3" s="25" t="inlineStr">
        <is>
          <t>Damage</t>
        </is>
      </c>
      <c r="C3" s="26">
        <f>'Weapon Base Stats'!C3</f>
        <v/>
      </c>
      <c r="D3" s="27">
        <f>CEILING(C3*(1+'Weapon Base Stats'!N3),1)</f>
        <v/>
      </c>
      <c r="E3" s="28">
        <f>CEILING(D3*(1+'Weapon Base Stats'!N3),1)</f>
        <v/>
      </c>
      <c r="F3" s="29">
        <f>CEILING(E3*(1+'Weapon Base Stats'!N3),1)</f>
        <v/>
      </c>
      <c r="G3" s="30">
        <f>CEILING(F3*(1+'Weapon Base Stats'!N3),1)</f>
        <v/>
      </c>
    </row>
    <row r="4" ht="15" customHeight="1" s="70">
      <c r="A4" s="74" t="n"/>
      <c r="B4" s="32" t="inlineStr">
        <is>
          <t>Fire Rate</t>
        </is>
      </c>
      <c r="C4" s="26">
        <f>'Weapon Base Stats'!D3</f>
        <v/>
      </c>
      <c r="D4" s="27">
        <f>ROUND(C4*(1+'Weapon Base Stats'!O3),2)</f>
        <v/>
      </c>
      <c r="E4" s="28">
        <f>ROUND(D4*(1+'Weapon Base Stats'!O3),2)</f>
        <v/>
      </c>
      <c r="F4" s="29">
        <f>ROUND(E4*(1+'Weapon Base Stats'!O3),2)</f>
        <v/>
      </c>
      <c r="G4" s="30">
        <f>ROUND(F4*(1+'Weapon Base Stats'!O3),2)</f>
        <v/>
      </c>
    </row>
    <row r="5" ht="15" customHeight="1" s="70">
      <c r="A5" s="74" t="n"/>
      <c r="B5" s="25" t="inlineStr">
        <is>
          <t>Projectiles</t>
        </is>
      </c>
      <c r="C5" s="26">
        <f>'Weapon Base Stats'!L3</f>
        <v/>
      </c>
      <c r="D5" s="27">
        <f>CEILING(C5*(1+0.1),1)</f>
        <v/>
      </c>
      <c r="E5" s="28">
        <f>CEILING(D5*(1+0.1),1)</f>
        <v/>
      </c>
      <c r="F5" s="29">
        <f>CEILING(E5*(1+0.1),1)</f>
        <v/>
      </c>
      <c r="G5" s="30">
        <f>CEILING(F5*(1+0.1),1)</f>
        <v/>
      </c>
    </row>
    <row r="6" ht="15" customHeight="1" s="70">
      <c r="A6" s="74" t="n"/>
      <c r="B6" s="32" t="inlineStr">
        <is>
          <t>AOE Radius</t>
        </is>
      </c>
      <c r="C6" s="26">
        <f>'Weapon Base Stats'!M3</f>
        <v/>
      </c>
      <c r="D6" s="27">
        <f>'Weapon Base Stats'!M3</f>
        <v/>
      </c>
      <c r="E6" s="28">
        <f>'Weapon Base Stats'!M3</f>
        <v/>
      </c>
      <c r="F6" s="29">
        <f>'Weapon Base Stats'!M3</f>
        <v/>
      </c>
      <c r="G6" s="30">
        <f>'Weapon Base Stats'!M3</f>
        <v/>
      </c>
    </row>
    <row r="7" ht="15" customHeight="1" s="70">
      <c r="A7" s="74" t="n"/>
      <c r="B7" s="25" t="inlineStr">
        <is>
          <t>DPS (dmg×rof×proj)</t>
        </is>
      </c>
      <c r="C7" s="26">
        <f>C3*C4*C5</f>
        <v/>
      </c>
      <c r="D7" s="27">
        <f>D3*D4*D5</f>
        <v/>
      </c>
      <c r="E7" s="28">
        <f>E3*E4*E5</f>
        <v/>
      </c>
      <c r="F7" s="29">
        <f>F3*F4*F5</f>
        <v/>
      </c>
      <c r="G7" s="30">
        <f>G3*G4*G5</f>
        <v/>
      </c>
    </row>
    <row r="8" ht="15" customHeight="1" s="70">
      <c r="A8" s="34" t="n"/>
      <c r="B8" s="34" t="n"/>
      <c r="C8" s="34" t="n"/>
      <c r="D8" s="34" t="n"/>
      <c r="E8" s="34" t="n"/>
      <c r="F8" s="34" t="n"/>
      <c r="G8" s="34" t="n"/>
    </row>
    <row r="9" ht="15" customHeight="1" s="70">
      <c r="A9" s="73" t="n"/>
      <c r="B9" s="25" t="inlineStr">
        <is>
          <t>Damage</t>
        </is>
      </c>
      <c r="C9" s="26">
        <f>'Weapon Base Stats'!C4</f>
        <v/>
      </c>
      <c r="D9" s="27">
        <f>CEILING(C9*(1+'Weapon Base Stats'!N4),1)</f>
        <v/>
      </c>
      <c r="E9" s="28">
        <f>CEILING(D9*(1+'Weapon Base Stats'!N4),1)</f>
        <v/>
      </c>
      <c r="F9" s="29">
        <f>CEILING(E9*(1+'Weapon Base Stats'!N4),1)</f>
        <v/>
      </c>
      <c r="G9" s="30">
        <f>CEILING(F9*(1+'Weapon Base Stats'!N4),1)</f>
        <v/>
      </c>
    </row>
    <row r="10" ht="15" customHeight="1" s="70">
      <c r="A10" s="74" t="n"/>
      <c r="B10" s="32" t="inlineStr">
        <is>
          <t>Fire Rate</t>
        </is>
      </c>
      <c r="C10" s="26">
        <f>'Weapon Base Stats'!D4</f>
        <v/>
      </c>
      <c r="D10" s="27">
        <f>ROUND(C10*(1+'Weapon Base Stats'!O4),2)</f>
        <v/>
      </c>
      <c r="E10" s="28">
        <f>ROUND(D10*(1+'Weapon Base Stats'!O4),2)</f>
        <v/>
      </c>
      <c r="F10" s="29">
        <f>ROUND(E10*(1+'Weapon Base Stats'!O4),2)</f>
        <v/>
      </c>
      <c r="G10" s="30">
        <f>ROUND(F10*(1+'Weapon Base Stats'!O4),2)</f>
        <v/>
      </c>
    </row>
    <row r="11" ht="15" customHeight="1" s="70">
      <c r="A11" s="74" t="n"/>
      <c r="B11" s="25" t="inlineStr">
        <is>
          <t>Projectiles</t>
        </is>
      </c>
      <c r="C11" s="26">
        <f>'Weapon Base Stats'!L4</f>
        <v/>
      </c>
      <c r="D11" s="27">
        <f>CEILING(C11*(1+0.25),1)</f>
        <v/>
      </c>
      <c r="E11" s="28">
        <f>CEILING(D11*(1+0.25),1)</f>
        <v/>
      </c>
      <c r="F11" s="29">
        <f>CEILING(E11*(1+0.25),1)</f>
        <v/>
      </c>
      <c r="G11" s="30">
        <f>CEILING(F11*(1+0.25),1)</f>
        <v/>
      </c>
    </row>
    <row r="12" ht="15" customHeight="1" s="70">
      <c r="A12" s="74" t="n"/>
      <c r="B12" s="32" t="inlineStr">
        <is>
          <t>AOE Radius</t>
        </is>
      </c>
      <c r="C12" s="26">
        <f>'Weapon Base Stats'!M4</f>
        <v/>
      </c>
      <c r="D12" s="27">
        <f>'Weapon Base Stats'!M4</f>
        <v/>
      </c>
      <c r="E12" s="28">
        <f>'Weapon Base Stats'!M4</f>
        <v/>
      </c>
      <c r="F12" s="29">
        <f>'Weapon Base Stats'!M4</f>
        <v/>
      </c>
      <c r="G12" s="30">
        <f>'Weapon Base Stats'!M4</f>
        <v/>
      </c>
    </row>
    <row r="13" ht="15" customHeight="1" s="70">
      <c r="A13" s="74" t="n"/>
      <c r="B13" s="25" t="inlineStr">
        <is>
          <t>DPS (dmg×rof×proj)</t>
        </is>
      </c>
      <c r="C13" s="26">
        <f>C9*C10*C11</f>
        <v/>
      </c>
      <c r="D13" s="27">
        <f>D9*D10*D11</f>
        <v/>
      </c>
      <c r="E13" s="28">
        <f>E9*E10*E11</f>
        <v/>
      </c>
      <c r="F13" s="29">
        <f>F9*F10*F11</f>
        <v/>
      </c>
      <c r="G13" s="30">
        <f>G9*G10*G11</f>
        <v/>
      </c>
    </row>
    <row r="14" ht="15" customHeight="1" s="70">
      <c r="A14" s="34" t="n"/>
      <c r="B14" s="34" t="n"/>
      <c r="C14" s="34" t="n"/>
      <c r="D14" s="34" t="n"/>
      <c r="E14" s="34" t="n"/>
      <c r="F14" s="34" t="n"/>
      <c r="G14" s="34" t="n"/>
    </row>
    <row r="15" ht="15" customHeight="1" s="70">
      <c r="A15" s="73" t="n"/>
      <c r="B15" s="25" t="inlineStr">
        <is>
          <t>Damage</t>
        </is>
      </c>
      <c r="C15" s="26">
        <f>'Weapon Base Stats'!C5</f>
        <v/>
      </c>
      <c r="D15" s="27">
        <f>CEILING(C15*(1+'Weapon Base Stats'!N5),1)</f>
        <v/>
      </c>
      <c r="E15" s="28">
        <f>CEILING(D15*(1+'Weapon Base Stats'!N5),1)</f>
        <v/>
      </c>
      <c r="F15" s="29">
        <f>CEILING(E15*(1+'Weapon Base Stats'!N5),1)</f>
        <v/>
      </c>
      <c r="G15" s="30">
        <f>CEILING(F15*(1+'Weapon Base Stats'!N5),1)</f>
        <v/>
      </c>
    </row>
    <row r="16" ht="15" customHeight="1" s="70">
      <c r="A16" s="74" t="n"/>
      <c r="B16" s="32" t="inlineStr">
        <is>
          <t>Fire Rate</t>
        </is>
      </c>
      <c r="C16" s="26">
        <f>'Weapon Base Stats'!D5</f>
        <v/>
      </c>
      <c r="D16" s="27">
        <f>ROUND(C16*(1+'Weapon Base Stats'!O5),2)</f>
        <v/>
      </c>
      <c r="E16" s="28">
        <f>ROUND(D16*(1+'Weapon Base Stats'!O5),2)</f>
        <v/>
      </c>
      <c r="F16" s="29">
        <f>ROUND(E16*(1+'Weapon Base Stats'!O5),2)</f>
        <v/>
      </c>
      <c r="G16" s="30">
        <f>ROUND(F16*(1+'Weapon Base Stats'!O5),2)</f>
        <v/>
      </c>
    </row>
    <row r="17" ht="15" customHeight="1" s="70">
      <c r="A17" s="74" t="n"/>
      <c r="B17" s="25" t="inlineStr">
        <is>
          <t>Projectiles</t>
        </is>
      </c>
      <c r="C17" s="26">
        <f>'Weapon Base Stats'!L5</f>
        <v/>
      </c>
      <c r="D17" s="27">
        <f>'Weapon Base Stats'!L5</f>
        <v/>
      </c>
      <c r="E17" s="28">
        <f>'Weapon Base Stats'!L5</f>
        <v/>
      </c>
      <c r="F17" s="29">
        <f>'Weapon Base Stats'!L5</f>
        <v/>
      </c>
      <c r="G17" s="30">
        <f>'Weapon Base Stats'!L5</f>
        <v/>
      </c>
    </row>
    <row r="18" ht="15" customHeight="1" s="70">
      <c r="A18" s="74" t="n"/>
      <c r="B18" s="32" t="inlineStr">
        <is>
          <t>AOE Radius</t>
        </is>
      </c>
      <c r="C18" s="26">
        <f>'Weapon Base Stats'!M5</f>
        <v/>
      </c>
      <c r="D18" s="27">
        <f>CEILING(C18*(1+0.2),1)</f>
        <v/>
      </c>
      <c r="E18" s="28">
        <f>CEILING(D18*(1+0.2),1)</f>
        <v/>
      </c>
      <c r="F18" s="29">
        <f>CEILING(E18*(1+0.2),1)</f>
        <v/>
      </c>
      <c r="G18" s="30">
        <f>CEILING(F18*(1+0.2),1)</f>
        <v/>
      </c>
    </row>
    <row r="19" ht="15" customHeight="1" s="70">
      <c r="A19" s="74" t="n"/>
      <c r="B19" s="25" t="inlineStr">
        <is>
          <t>DPS (dmg×rof×proj)</t>
        </is>
      </c>
      <c r="C19" s="26">
        <f>C15*C16*C17</f>
        <v/>
      </c>
      <c r="D19" s="27">
        <f>D15*D16*D17</f>
        <v/>
      </c>
      <c r="E19" s="28">
        <f>E15*E16*E17</f>
        <v/>
      </c>
      <c r="F19" s="29">
        <f>F15*F16*F17</f>
        <v/>
      </c>
      <c r="G19" s="30">
        <f>G15*G16*G17</f>
        <v/>
      </c>
    </row>
    <row r="20" ht="15" customHeight="1" s="70">
      <c r="A20" s="34" t="n"/>
      <c r="B20" s="34" t="n"/>
      <c r="C20" s="34" t="n"/>
      <c r="D20" s="34" t="n"/>
      <c r="E20" s="34" t="n"/>
      <c r="F20" s="34" t="n"/>
      <c r="G20" s="34" t="n"/>
    </row>
    <row r="21" ht="15" customHeight="1" s="70">
      <c r="A21" s="73" t="n"/>
      <c r="B21" s="25" t="inlineStr">
        <is>
          <t>Damage</t>
        </is>
      </c>
      <c r="C21" s="26">
        <f>'Weapon Base Stats'!C6</f>
        <v/>
      </c>
      <c r="D21" s="27">
        <f>CEILING(C21*(1+'Weapon Base Stats'!N6),1)</f>
        <v/>
      </c>
      <c r="E21" s="28">
        <f>CEILING(D21*(1+'Weapon Base Stats'!N6),1)</f>
        <v/>
      </c>
      <c r="F21" s="29">
        <f>CEILING(E21*(1+'Weapon Base Stats'!N6),1)</f>
        <v/>
      </c>
      <c r="G21" s="30">
        <f>CEILING(F21*(1+'Weapon Base Stats'!N6),1)</f>
        <v/>
      </c>
    </row>
    <row r="22" ht="15" customHeight="1" s="70">
      <c r="A22" s="74" t="n"/>
      <c r="B22" s="32" t="inlineStr">
        <is>
          <t>Fire Rate</t>
        </is>
      </c>
      <c r="C22" s="26">
        <f>'Weapon Base Stats'!D6</f>
        <v/>
      </c>
      <c r="D22" s="27">
        <f>ROUND(C22*(1+'Weapon Base Stats'!O6),2)</f>
        <v/>
      </c>
      <c r="E22" s="28">
        <f>ROUND(D22*(1+'Weapon Base Stats'!O6),2)</f>
        <v/>
      </c>
      <c r="F22" s="29">
        <f>ROUND(E22*(1+'Weapon Base Stats'!O6),2)</f>
        <v/>
      </c>
      <c r="G22" s="30">
        <f>ROUND(F22*(1+'Weapon Base Stats'!O6),2)</f>
        <v/>
      </c>
    </row>
    <row r="23" ht="15" customHeight="1" s="70">
      <c r="A23" s="74" t="n"/>
      <c r="B23" s="25" t="inlineStr">
        <is>
          <t>Projectiles</t>
        </is>
      </c>
      <c r="C23" s="26">
        <f>'Weapon Base Stats'!L6</f>
        <v/>
      </c>
      <c r="D23" s="27">
        <f>'Weapon Base Stats'!L6</f>
        <v/>
      </c>
      <c r="E23" s="28">
        <f>'Weapon Base Stats'!L6</f>
        <v/>
      </c>
      <c r="F23" s="29">
        <f>'Weapon Base Stats'!L6</f>
        <v/>
      </c>
      <c r="G23" s="30">
        <f>'Weapon Base Stats'!L6</f>
        <v/>
      </c>
    </row>
    <row r="24" ht="15" customHeight="1" s="70">
      <c r="A24" s="74" t="n"/>
      <c r="B24" s="32" t="inlineStr">
        <is>
          <t>AOE Radius</t>
        </is>
      </c>
      <c r="C24" s="26">
        <f>'Weapon Base Stats'!M6</f>
        <v/>
      </c>
      <c r="D24" s="27">
        <f>'Weapon Base Stats'!M6</f>
        <v/>
      </c>
      <c r="E24" s="28">
        <f>'Weapon Base Stats'!M6</f>
        <v/>
      </c>
      <c r="F24" s="29">
        <f>'Weapon Base Stats'!M6</f>
        <v/>
      </c>
      <c r="G24" s="30">
        <f>'Weapon Base Stats'!M6</f>
        <v/>
      </c>
    </row>
    <row r="25" ht="15" customHeight="1" s="70">
      <c r="A25" s="74" t="n"/>
      <c r="B25" s="25" t="inlineStr">
        <is>
          <t>DPS (dmg×rof×proj)</t>
        </is>
      </c>
      <c r="C25" s="26">
        <f>C21*C22*C23</f>
        <v/>
      </c>
      <c r="D25" s="27">
        <f>D21*D22*D23</f>
        <v/>
      </c>
      <c r="E25" s="28">
        <f>E21*E22*E23</f>
        <v/>
      </c>
      <c r="F25" s="29">
        <f>F21*F22*F23</f>
        <v/>
      </c>
      <c r="G25" s="30">
        <f>G21*G22*G23</f>
        <v/>
      </c>
    </row>
    <row r="26" ht="15" customHeight="1" s="70">
      <c r="A26" s="34" t="n"/>
      <c r="B26" s="34" t="n"/>
      <c r="C26" s="34" t="n"/>
      <c r="D26" s="34" t="n"/>
      <c r="E26" s="34" t="n"/>
      <c r="F26" s="34" t="n"/>
      <c r="G26" s="34" t="n"/>
    </row>
    <row r="27" ht="15" customHeight="1" s="70">
      <c r="A27" s="73" t="n"/>
      <c r="B27" s="25" t="inlineStr">
        <is>
          <t>Damage</t>
        </is>
      </c>
      <c r="C27" s="26">
        <f>'Weapon Base Stats'!C7</f>
        <v/>
      </c>
      <c r="D27" s="27">
        <f>CEILING(C27*(1+'Weapon Base Stats'!N7),1)</f>
        <v/>
      </c>
      <c r="E27" s="28">
        <f>CEILING(D27*(1+'Weapon Base Stats'!N7),1)</f>
        <v/>
      </c>
      <c r="F27" s="29">
        <f>CEILING(E27*(1+'Weapon Base Stats'!N7),1)</f>
        <v/>
      </c>
      <c r="G27" s="30">
        <f>CEILING(F27*(1+'Weapon Base Stats'!N7),1)</f>
        <v/>
      </c>
    </row>
    <row r="28" ht="15" customHeight="1" s="70">
      <c r="A28" s="74" t="n"/>
      <c r="B28" s="32" t="inlineStr">
        <is>
          <t>Fire Rate</t>
        </is>
      </c>
      <c r="C28" s="26">
        <f>'Weapon Base Stats'!D7</f>
        <v/>
      </c>
      <c r="D28" s="27">
        <f>ROUND(C28*(1+'Weapon Base Stats'!O7),2)</f>
        <v/>
      </c>
      <c r="E28" s="28">
        <f>ROUND(D28*(1+'Weapon Base Stats'!O7),2)</f>
        <v/>
      </c>
      <c r="F28" s="29">
        <f>ROUND(E28*(1+'Weapon Base Stats'!O7),2)</f>
        <v/>
      </c>
      <c r="G28" s="30">
        <f>ROUND(F28*(1+'Weapon Base Stats'!O7),2)</f>
        <v/>
      </c>
    </row>
    <row r="29" ht="15" customHeight="1" s="70">
      <c r="A29" s="74" t="n"/>
      <c r="B29" s="25" t="inlineStr">
        <is>
          <t>Projectiles</t>
        </is>
      </c>
      <c r="C29" s="26">
        <f>'Weapon Base Stats'!L7</f>
        <v/>
      </c>
      <c r="D29" s="27">
        <f>CEILING(C29*(1+0.1),1)</f>
        <v/>
      </c>
      <c r="E29" s="28">
        <f>CEILING(D29*(1+0.1),1)</f>
        <v/>
      </c>
      <c r="F29" s="29">
        <f>CEILING(E29*(1+0.1),1)</f>
        <v/>
      </c>
      <c r="G29" s="30">
        <f>CEILING(F29*(1+0.1),1)</f>
        <v/>
      </c>
    </row>
    <row r="30" ht="15" customHeight="1" s="70">
      <c r="A30" s="74" t="n"/>
      <c r="B30" s="32" t="inlineStr">
        <is>
          <t>AOE Radius</t>
        </is>
      </c>
      <c r="C30" s="26">
        <f>'Weapon Base Stats'!M7</f>
        <v/>
      </c>
      <c r="D30" s="27">
        <f>CEILING(C30*(1+0.15),1)</f>
        <v/>
      </c>
      <c r="E30" s="28">
        <f>CEILING(D30*(1+0.15),1)</f>
        <v/>
      </c>
      <c r="F30" s="29">
        <f>CEILING(E30*(1+0.15),1)</f>
        <v/>
      </c>
      <c r="G30" s="30">
        <f>CEILING(F30*(1+0.15),1)</f>
        <v/>
      </c>
    </row>
    <row r="31" ht="15" customHeight="1" s="70">
      <c r="A31" s="74" t="n"/>
      <c r="B31" s="25" t="inlineStr">
        <is>
          <t>DPS (dmg×rof×proj)</t>
        </is>
      </c>
      <c r="C31" s="26">
        <f>C27*C28*C29</f>
        <v/>
      </c>
      <c r="D31" s="27">
        <f>D27*D28*D29</f>
        <v/>
      </c>
      <c r="E31" s="28">
        <f>E27*E28*E29</f>
        <v/>
      </c>
      <c r="F31" s="29">
        <f>F27*F28*F29</f>
        <v/>
      </c>
      <c r="G31" s="30">
        <f>G27*G28*G29</f>
        <v/>
      </c>
    </row>
    <row r="32" ht="15" customHeight="1" s="70">
      <c r="A32" s="34" t="n"/>
      <c r="B32" s="34" t="n"/>
      <c r="C32" s="34" t="n"/>
      <c r="D32" s="34" t="n"/>
      <c r="E32" s="34" t="n"/>
      <c r="F32" s="34" t="n"/>
      <c r="G32" s="34" t="n"/>
    </row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mergeCells count="6">
    <mergeCell ref="A1:G1"/>
    <mergeCell ref="A21:A25"/>
    <mergeCell ref="A15:A19"/>
    <mergeCell ref="A9:A13"/>
    <mergeCell ref="A27:A31"/>
    <mergeCell ref="A3:A7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70" min="1" max="1"/>
    <col width="8" customWidth="1" style="70" min="2" max="2"/>
    <col width="12" customWidth="1" style="70" min="3" max="3"/>
    <col width="14" customWidth="1" style="70" min="4" max="4"/>
    <col width="8.710000000000001" customWidth="1" style="70" min="5" max="8"/>
    <col width="12" customWidth="1" style="70" min="9" max="9"/>
    <col width="8.710000000000001" customWidth="1" style="70" min="10" max="26"/>
  </cols>
  <sheetData>
    <row r="1" ht="27.75" customHeight="1" s="70">
      <c r="A1" s="72" t="inlineStr">
        <is>
          <t>🃏  CARD &amp; UPGRADE SIMULATOR  —  adjust yellow cells to see final stats</t>
        </is>
      </c>
    </row>
    <row r="2" ht="18" customHeight="1" s="70">
      <c r="A2" s="35" t="inlineStr">
        <is>
          <t>Yellow = inputs you can change.  Tier pulls from Tier Progression sheet.  Final DPS = (BaseDMG + FlatBonus) × DMGMult × FireRate × RoFMult × (BaseProj + ExtraProj)</t>
        </is>
      </c>
    </row>
    <row r="3" ht="36" customHeight="1" s="70">
      <c r="A3" s="36" t="inlineStr">
        <is>
          <t>Weapon</t>
        </is>
      </c>
      <c r="B3" s="36" t="inlineStr">
        <is>
          <t>Tier
(1–5)</t>
        </is>
      </c>
      <c r="C3" s="36" t="inlineStr">
        <is>
          <t>Base
Damage</t>
        </is>
      </c>
      <c r="D3" s="36" t="inlineStr">
        <is>
          <t>Base
Fire Rate</t>
        </is>
      </c>
      <c r="E3" s="36" t="inlineStr">
        <is>
          <t>Base
Projectiles</t>
        </is>
      </c>
      <c r="F3" s="36" t="inlineStr">
        <is>
          <t>+Flat DMG
(card)</t>
        </is>
      </c>
      <c r="G3" s="36" t="inlineStr">
        <is>
          <t>×DMG Mult
(card)</t>
        </is>
      </c>
      <c r="H3" s="36" t="inlineStr">
        <is>
          <t>×RoF Mult
(card)</t>
        </is>
      </c>
      <c r="I3" s="36" t="inlineStr">
        <is>
          <t>+Proj
(card)</t>
        </is>
      </c>
      <c r="J3" s="36" t="inlineStr">
        <is>
          <t>Final DPS</t>
        </is>
      </c>
    </row>
    <row r="4" ht="18" customHeight="1" s="70">
      <c r="A4" s="25" t="inlineStr">
        <is>
          <t>Machine Gun</t>
        </is>
      </c>
      <c r="B4" s="37" t="n">
        <v>1</v>
      </c>
      <c r="C4" s="38">
        <f t="array" ref="C4">INDEX('Tier Progression'!C3:G3,1,B4)</f>
        <v/>
      </c>
      <c r="D4" s="39">
        <f t="array" ref="D4">INDEX('Tier Progression'!C4:G4,1,B4)</f>
        <v/>
      </c>
      <c r="E4" s="40">
        <f t="array" ref="E4">INDEX('Tier Progression'!C5:G5,1,B4)</f>
        <v/>
      </c>
      <c r="F4" s="41" t="n">
        <v>0</v>
      </c>
      <c r="G4" s="42" t="n">
        <v>1</v>
      </c>
      <c r="H4" s="42" t="n">
        <v>1</v>
      </c>
      <c r="I4" s="37" t="n">
        <v>0</v>
      </c>
      <c r="J4" s="43">
        <f>(C4+F4)*G4*D4*H4*(E4+I4)</f>
        <v/>
      </c>
    </row>
    <row r="5" ht="15" customHeight="1" s="70">
      <c r="A5" s="32" t="inlineStr">
        <is>
          <t>Shotgun</t>
        </is>
      </c>
      <c r="B5" s="37" t="n">
        <v>1</v>
      </c>
      <c r="C5" s="44">
        <f t="array" ref="C5">INDEX('Tier Progression'!C9:G9,1,B5)</f>
        <v/>
      </c>
      <c r="D5" s="45">
        <f t="array" ref="D5">INDEX('Tier Progression'!C10:G10,1,B5)</f>
        <v/>
      </c>
      <c r="E5" s="46">
        <f t="array" ref="E5">INDEX('Tier Progression'!C11:G11,1,B5)</f>
        <v/>
      </c>
      <c r="F5" s="41" t="n">
        <v>0</v>
      </c>
      <c r="G5" s="42" t="n">
        <v>1</v>
      </c>
      <c r="H5" s="42" t="n">
        <v>1</v>
      </c>
      <c r="I5" s="37" t="n">
        <v>0</v>
      </c>
      <c r="J5" s="43">
        <f>(C5+F5)*G5*D5*H5*(E5+I5)</f>
        <v/>
      </c>
    </row>
    <row r="6" ht="15" customHeight="1" s="70">
      <c r="A6" s="25" t="inlineStr">
        <is>
          <t>Plasma Cannon</t>
        </is>
      </c>
      <c r="B6" s="37" t="n">
        <v>1</v>
      </c>
      <c r="C6" s="38">
        <f t="array" ref="C6">INDEX('Tier Progression'!C15:G15,1,B6)</f>
        <v/>
      </c>
      <c r="D6" s="39">
        <f t="array" ref="D6">INDEX('Tier Progression'!C16:G16,1,B6)</f>
        <v/>
      </c>
      <c r="E6" s="40">
        <f t="array" ref="E6">INDEX('Tier Progression'!C17:G17,1,B6)</f>
        <v/>
      </c>
      <c r="F6" s="41" t="n">
        <v>0</v>
      </c>
      <c r="G6" s="42" t="n">
        <v>1</v>
      </c>
      <c r="H6" s="42" t="n">
        <v>1</v>
      </c>
      <c r="I6" s="37" t="n">
        <v>0</v>
      </c>
      <c r="J6" s="43">
        <f>(C6+F6)*G6*D6*H6*(E6+I6)</f>
        <v/>
      </c>
    </row>
    <row r="7" ht="15" customHeight="1" s="70">
      <c r="A7" s="32" t="inlineStr">
        <is>
          <t>Laser</t>
        </is>
      </c>
      <c r="B7" s="37" t="n">
        <v>1</v>
      </c>
      <c r="C7" s="44">
        <f t="array" ref="C7">INDEX('Tier Progression'!C21:G21,1,B7)</f>
        <v/>
      </c>
      <c r="D7" s="45">
        <f t="array" ref="D7">INDEX('Tier Progression'!C22:G22,1,B7)</f>
        <v/>
      </c>
      <c r="E7" s="46">
        <f t="array" ref="E7">INDEX('Tier Progression'!C23:G23,1,B7)</f>
        <v/>
      </c>
      <c r="F7" s="41" t="n">
        <v>0</v>
      </c>
      <c r="G7" s="42" t="n">
        <v>1</v>
      </c>
      <c r="H7" s="42" t="n">
        <v>1</v>
      </c>
      <c r="I7" s="37" t="n">
        <v>0</v>
      </c>
      <c r="J7" s="43">
        <f>(C7+F7)*G7*D7*H7*(E7+I7)</f>
        <v/>
      </c>
    </row>
    <row r="8" ht="15" customHeight="1" s="70">
      <c r="A8" s="25" t="inlineStr">
        <is>
          <t>Homing Missile</t>
        </is>
      </c>
      <c r="B8" s="37" t="n">
        <v>1</v>
      </c>
      <c r="C8" s="38">
        <f t="array" ref="C8">INDEX('Tier Progression'!C27:G27,1,B8)</f>
        <v/>
      </c>
      <c r="D8" s="39">
        <f t="array" ref="D8">INDEX('Tier Progression'!C28:G28,1,B8)</f>
        <v/>
      </c>
      <c r="E8" s="40">
        <f t="array" ref="E8">INDEX('Tier Progression'!C29:G29,1,B8)</f>
        <v/>
      </c>
      <c r="F8" s="41" t="n">
        <v>0</v>
      </c>
      <c r="G8" s="42" t="n">
        <v>1</v>
      </c>
      <c r="H8" s="42" t="n">
        <v>1</v>
      </c>
      <c r="I8" s="37" t="n">
        <v>0</v>
      </c>
      <c r="J8" s="43">
        <f>(C8+F8)*G8*D8*H8*(E8+I8)</f>
        <v/>
      </c>
    </row>
    <row r="21" ht="15.75" customHeight="1" s="70"/>
    <row r="22" ht="15.75" customHeight="1" s="70"/>
    <row r="23" ht="15.75" customHeight="1" s="70"/>
    <row r="24" ht="15.75" customHeight="1" s="70"/>
    <row r="25" ht="15.75" customHeight="1" s="70"/>
    <row r="26" ht="15.75" customHeight="1" s="70"/>
    <row r="27" ht="15.75" customHeight="1" s="70"/>
    <row r="28" ht="15.75" customHeight="1" s="70"/>
    <row r="29" ht="15.75" customHeight="1" s="70"/>
    <row r="30" ht="15.75" customHeight="1" s="70"/>
    <row r="31" ht="15.75" customHeight="1" s="70"/>
    <row r="32" ht="15.75" customHeight="1" s="70"/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70" min="1" max="2"/>
    <col width="20.86" customWidth="1" style="70" min="3" max="3"/>
    <col width="14.14" customWidth="1" style="70" min="4" max="4"/>
    <col width="16" customWidth="1" style="70" min="5" max="5"/>
    <col width="28" customWidth="1" style="70" min="6" max="6"/>
    <col width="18" customWidth="1" style="70" min="7" max="7"/>
    <col width="14.14" customWidth="1" style="70" min="8" max="8"/>
    <col width="14" customWidth="1" style="70" min="9" max="9"/>
    <col width="18" customWidth="1" style="70" min="10" max="10"/>
    <col width="16" customWidth="1" style="70" min="11" max="11"/>
    <col width="10" customWidth="1" style="70" min="12" max="12"/>
    <col width="13" customWidth="1" style="70" min="13" max="13"/>
    <col width="25" customWidth="1" style="70" min="14" max="14"/>
    <col width="8.710000000000001" customWidth="1" style="70" min="15" max="26"/>
  </cols>
  <sheetData>
    <row r="1" ht="25.5" customHeight="1" s="70">
      <c r="A1" s="47" t="inlineStr">
        <is>
          <t>PILOT DATABASE  —  Green rows = ready to import. One pilot per row. Do not rename columns.</t>
        </is>
      </c>
    </row>
    <row r="2" ht="48" customHeight="1" s="70">
      <c r="A2" s="5" t="inlineStr">
        <is>
          <t>Pilot ID
(no spaces,
snake_case)</t>
        </is>
      </c>
      <c r="B2" s="5" t="inlineStr">
        <is>
          <t>Display Name</t>
        </is>
      </c>
      <c r="C2" s="5" t="inlineStr">
        <is>
          <t>Type
global / weapon_type /
conditional</t>
        </is>
      </c>
      <c r="D2" s="5" t="inlineStr">
        <is>
          <t>Rarity
common/rare/
epic/legendary</t>
        </is>
      </c>
      <c r="E2" s="5" t="inlineStr">
        <is>
          <t>Cost
(credits)</t>
        </is>
      </c>
      <c r="F2" s="5" t="inlineStr">
        <is>
          <t>Description
(card text)</t>
        </is>
      </c>
      <c r="G2" s="5" t="inlineStr">
        <is>
          <t>Effect Key
(code identifier)</t>
        </is>
      </c>
      <c r="H2" s="5" t="inlineStr">
        <is>
          <t>Value
(numeric)</t>
        </is>
      </c>
      <c r="I2" s="5" t="inlineStr">
        <is>
          <t>Weapon Category
(weapon_type only)</t>
        </is>
      </c>
      <c r="J2" s="5" t="inlineStr">
        <is>
          <t>Synergies</t>
        </is>
      </c>
      <c r="K2" s="5" t="inlineStr">
        <is>
          <t>Anti-Synergies</t>
        </is>
      </c>
      <c r="L2" s="5" t="inlineStr">
        <is>
          <t>Power Level
(1–10)</t>
        </is>
      </c>
      <c r="M2" s="5" t="inlineStr">
        <is>
          <t>Status
idea/designed/
implemented</t>
        </is>
      </c>
      <c r="N2" s="5" t="inlineStr">
        <is>
          <t>Design Notes</t>
        </is>
      </c>
    </row>
    <row r="3" ht="25.5" customHeight="1" s="70">
      <c r="A3" s="6" t="inlineStr">
        <is>
          <t>e.g. power_surge</t>
        </is>
      </c>
      <c r="B3" s="6" t="inlineStr">
        <is>
          <t>Shown on pilot card</t>
        </is>
      </c>
      <c r="C3" s="6" t="inlineStr">
        <is>
          <t>Determines when effect fires</t>
        </is>
      </c>
      <c r="D3" s="6" t="inlineStr">
        <is>
          <t>Affects pool probability</t>
        </is>
      </c>
      <c r="E3" s="6" t="inlineStr">
        <is>
          <t>Integer, e.g. 20–80</t>
        </is>
      </c>
      <c r="F3" s="6" t="inlineStr">
        <is>
          <t>Keep under 50 chars</t>
        </is>
      </c>
      <c r="G3" s="6" t="inlineStr">
        <is>
          <t>e.g. damage_flat_pct</t>
        </is>
      </c>
      <c r="H3" s="6" t="inlineStr">
        <is>
          <t>e.g. 0.20 for 20%</t>
        </is>
      </c>
      <c r="I3" s="6" t="inlineStr">
        <is>
          <t>ballistic/energy/missile or blank</t>
        </is>
      </c>
      <c r="J3" s="6" t="inlineStr">
        <is>
          <t>Other pilot names (notes only)</t>
        </is>
      </c>
      <c r="K3" s="6" t="inlineStr">
        <is>
          <t>Notes only</t>
        </is>
      </c>
      <c r="L3" s="6" t="inlineStr">
        <is>
          <t>1=weak, 10=broken</t>
        </is>
      </c>
      <c r="M3" s="6" t="n"/>
      <c r="N3" s="6" t="n"/>
    </row>
    <row r="4">
      <c r="A4" s="49" t="n"/>
      <c r="B4" s="49" t="n"/>
      <c r="C4" s="49" t="inlineStr">
        <is>
          <t>global</t>
        </is>
      </c>
      <c r="D4" s="49" t="inlineStr">
        <is>
          <t>common</t>
        </is>
      </c>
      <c r="E4" s="49" t="n">
        <v>20</v>
      </c>
      <c r="F4" s="21" t="inlineStr">
        <is>
          <t>10 reload speed</t>
        </is>
      </c>
      <c r="G4" s="49" t="n"/>
      <c r="H4" s="49" t="n"/>
      <c r="I4" s="49" t="n"/>
      <c r="J4" s="49" t="n"/>
      <c r="K4" s="49" t="n"/>
      <c r="L4" s="49" t="n"/>
      <c r="M4" s="49" t="n"/>
      <c r="N4" s="13" t="n"/>
    </row>
    <row r="5">
      <c r="A5" s="49" t="n"/>
      <c r="B5" s="49" t="n"/>
      <c r="C5" s="49" t="inlineStr">
        <is>
          <t>global</t>
        </is>
      </c>
      <c r="D5" s="49" t="inlineStr">
        <is>
          <t>common</t>
        </is>
      </c>
      <c r="E5" s="49" t="n">
        <v>20</v>
      </c>
      <c r="F5" s="21" t="inlineStr">
        <is>
          <t>10 fire speed</t>
        </is>
      </c>
      <c r="G5" s="49" t="n"/>
      <c r="H5" s="49" t="n"/>
      <c r="I5" s="49" t="n"/>
      <c r="J5" s="49" t="n"/>
      <c r="K5" s="49" t="n"/>
      <c r="L5" s="49" t="n"/>
      <c r="M5" s="49" t="n"/>
      <c r="N5" s="13" t="n"/>
    </row>
    <row r="6">
      <c r="A6" s="49" t="n"/>
      <c r="B6" s="49" t="n"/>
      <c r="C6" s="49" t="inlineStr">
        <is>
          <t>global</t>
        </is>
      </c>
      <c r="D6" s="49" t="inlineStr">
        <is>
          <t>common</t>
        </is>
      </c>
      <c r="E6" s="49" t="n">
        <v>20</v>
      </c>
      <c r="F6" s="13" t="inlineStr">
        <is>
          <t>10 fire damage</t>
        </is>
      </c>
      <c r="G6" s="49" t="n"/>
      <c r="H6" s="49" t="n"/>
      <c r="I6" s="49" t="n"/>
      <c r="J6" s="49" t="n"/>
      <c r="K6" s="49" t="n"/>
      <c r="L6" s="49" t="n"/>
      <c r="M6" s="49" t="n"/>
      <c r="N6" s="13" t="n"/>
    </row>
    <row r="7">
      <c r="A7" s="49" t="n"/>
      <c r="B7" s="49" t="n"/>
      <c r="C7" s="49" t="inlineStr">
        <is>
          <t>global</t>
        </is>
      </c>
      <c r="D7" s="49" t="inlineStr">
        <is>
          <t>common</t>
        </is>
      </c>
      <c r="E7" s="49" t="n">
        <v>20</v>
      </c>
      <c r="F7" s="13" t="inlineStr">
        <is>
          <t>10 bullet damage"</t>
        </is>
      </c>
      <c r="G7" s="49" t="n"/>
      <c r="H7" s="49" t="n"/>
      <c r="I7" s="49" t="n"/>
      <c r="J7" s="49" t="n"/>
      <c r="K7" s="49" t="n"/>
      <c r="L7" s="49" t="n"/>
      <c r="M7" s="49" t="n"/>
      <c r="N7" s="13" t="n"/>
    </row>
    <row r="8">
      <c r="A8" s="49" t="inlineStr">
        <is>
          <t>bullet_man</t>
        </is>
      </c>
      <c r="B8" s="49" t="inlineStr">
        <is>
          <t>Bullet Man</t>
        </is>
      </c>
      <c r="C8" s="49" t="inlineStr">
        <is>
          <t>global</t>
        </is>
      </c>
      <c r="D8" s="49" t="inlineStr">
        <is>
          <t>common</t>
        </is>
      </c>
      <c r="E8" s="49" t="n">
        <v>20</v>
      </c>
      <c r="F8" s="13" t="inlineStr">
        <is>
          <t>10% all bullet damage</t>
        </is>
      </c>
      <c r="G8" s="49" t="inlineStr">
        <is>
          <t>damage_flat_pct</t>
        </is>
      </c>
      <c r="H8" s="49" t="n">
        <v>0.2</v>
      </c>
      <c r="I8" s="49" t="n"/>
      <c r="J8" s="49" t="inlineStr">
        <is>
          <t>Any build</t>
        </is>
      </c>
      <c r="K8" s="49" t="inlineStr">
        <is>
          <t>None</t>
        </is>
      </c>
      <c r="L8" s="49" t="n">
        <v>5</v>
      </c>
      <c r="M8" s="49" t="inlineStr">
        <is>
          <t>implemented</t>
        </is>
      </c>
      <c r="N8" s="13" t="inlineStr">
        <is>
          <t>Scales well late game</t>
        </is>
      </c>
    </row>
    <row r="9">
      <c r="A9" s="49" t="inlineStr">
        <is>
          <t>shield_tech</t>
        </is>
      </c>
      <c r="B9" s="49" t="inlineStr">
        <is>
          <t>Cptn Shield</t>
        </is>
      </c>
      <c r="C9" s="49" t="inlineStr">
        <is>
          <t>global</t>
        </is>
      </c>
      <c r="D9" s="49" t="inlineStr">
        <is>
          <t>common</t>
        </is>
      </c>
      <c r="E9" s="49" t="n">
        <v>20</v>
      </c>
      <c r="F9" s="13" t="inlineStr">
        <is>
          <t>+25 Max Shield</t>
        </is>
      </c>
      <c r="G9" s="49" t="inlineStr">
        <is>
          <t>shield_boost</t>
        </is>
      </c>
      <c r="H9" s="49" t="n">
        <v>25</v>
      </c>
      <c r="I9" s="49" t="n"/>
      <c r="J9" s="49" t="inlineStr">
        <is>
          <t>Tanky builds</t>
        </is>
      </c>
      <c r="K9" s="49" t="inlineStr">
        <is>
          <t>None</t>
        </is>
      </c>
      <c r="L9" s="49" t="n">
        <v>3</v>
      </c>
      <c r="M9" s="49" t="inlineStr">
        <is>
          <t>implemented</t>
        </is>
      </c>
      <c r="N9" s="13" t="inlineStr">
        <is>
          <t>One-time stat on hire</t>
        </is>
      </c>
    </row>
    <row r="10">
      <c r="A10" s="49" t="n"/>
      <c r="B10" s="49" t="n"/>
      <c r="C10" s="49" t="inlineStr">
        <is>
          <t>global</t>
        </is>
      </c>
      <c r="D10" s="49" t="inlineStr">
        <is>
          <t>common</t>
        </is>
      </c>
      <c r="E10" s="49" t="n">
        <v>20</v>
      </c>
      <c r="F10" s="13" t="inlineStr">
        <is>
          <t>20 Move Speed</t>
        </is>
      </c>
      <c r="G10" s="49" t="n"/>
      <c r="H10" s="49" t="n"/>
      <c r="I10" s="49" t="n"/>
      <c r="J10" s="49" t="n"/>
      <c r="K10" s="49" t="n"/>
      <c r="L10" s="49" t="n"/>
      <c r="M10" s="49" t="inlineStr">
        <is>
          <t>idea</t>
        </is>
      </c>
      <c r="N10" s="13" t="n"/>
    </row>
    <row r="11">
      <c r="A11" s="49" t="n"/>
      <c r="B11" s="49" t="n"/>
      <c r="C11" s="49" t="inlineStr">
        <is>
          <t>global</t>
        </is>
      </c>
      <c r="D11" s="49" t="inlineStr">
        <is>
          <t>common</t>
        </is>
      </c>
      <c r="E11" s="49" t="n">
        <v>20</v>
      </c>
      <c r="F11" s="13" t="inlineStr">
        <is>
          <t>5 AOE</t>
        </is>
      </c>
      <c r="G11" s="49" t="n"/>
      <c r="H11" s="49" t="n"/>
      <c r="I11" s="49" t="n"/>
      <c r="J11" s="49" t="n"/>
      <c r="K11" s="49" t="n"/>
      <c r="L11" s="49" t="n"/>
      <c r="M11" s="49" t="inlineStr">
        <is>
          <t>idea</t>
        </is>
      </c>
      <c r="N11" s="13" t="n"/>
    </row>
    <row r="12">
      <c r="A12" s="49" t="n"/>
      <c r="B12" s="49" t="n"/>
      <c r="C12" s="49" t="n"/>
      <c r="D12" s="49" t="inlineStr">
        <is>
          <t>common</t>
        </is>
      </c>
      <c r="E12" s="49" t="n">
        <v>20</v>
      </c>
      <c r="F12" s="13" t="n"/>
      <c r="G12" s="49" t="n"/>
      <c r="H12" s="49" t="n"/>
      <c r="I12" s="49" t="n"/>
      <c r="J12" s="49" t="n"/>
      <c r="K12" s="49" t="n"/>
      <c r="L12" s="49" t="n"/>
      <c r="M12" s="49" t="n"/>
      <c r="N12" s="13" t="n"/>
    </row>
    <row r="13">
      <c r="A13" s="49" t="n"/>
      <c r="B13" s="49" t="n"/>
      <c r="C13" s="49" t="n"/>
      <c r="D13" s="49" t="inlineStr">
        <is>
          <t>common</t>
        </is>
      </c>
      <c r="E13" s="49" t="n">
        <v>20</v>
      </c>
      <c r="F13" s="13" t="n"/>
      <c r="G13" s="49" t="n"/>
      <c r="H13" s="49" t="n"/>
      <c r="I13" s="49" t="n"/>
      <c r="J13" s="49" t="n"/>
      <c r="K13" s="49" t="n"/>
      <c r="L13" s="49" t="n"/>
      <c r="M13" s="49" t="n"/>
      <c r="N13" s="13" t="n"/>
    </row>
    <row r="14">
      <c r="A14" s="49" t="n"/>
      <c r="B14" s="49" t="n"/>
      <c r="C14" s="49" t="n"/>
      <c r="D14" s="49" t="inlineStr">
        <is>
          <t>common</t>
        </is>
      </c>
      <c r="E14" s="49" t="n">
        <v>20</v>
      </c>
      <c r="F14" s="13" t="n"/>
      <c r="G14" s="49" t="n"/>
      <c r="H14" s="49" t="n"/>
      <c r="I14" s="49" t="n"/>
      <c r="J14" s="49" t="n"/>
      <c r="K14" s="49" t="n"/>
      <c r="L14" s="49" t="n"/>
      <c r="M14" s="49" t="n"/>
      <c r="N14" s="13" t="n"/>
    </row>
    <row r="15">
      <c r="A15" s="49" t="n"/>
      <c r="B15" s="49" t="n"/>
      <c r="C15" s="49" t="n"/>
      <c r="D15" s="49" t="inlineStr">
        <is>
          <t>common</t>
        </is>
      </c>
      <c r="E15" s="49" t="n">
        <v>20</v>
      </c>
      <c r="F15" s="13" t="n"/>
      <c r="G15" s="49" t="n"/>
      <c r="H15" s="49" t="n"/>
      <c r="I15" s="49" t="n"/>
      <c r="J15" s="49" t="n"/>
      <c r="K15" s="49" t="n"/>
      <c r="L15" s="49" t="n"/>
      <c r="M15" s="49" t="n"/>
      <c r="N15" s="13" t="n"/>
    </row>
    <row r="16">
      <c r="A16" s="49" t="n"/>
      <c r="B16" s="49" t="n"/>
      <c r="C16" s="49" t="n"/>
      <c r="D16" s="49" t="inlineStr">
        <is>
          <t>common</t>
        </is>
      </c>
      <c r="E16" s="49" t="n">
        <v>20</v>
      </c>
      <c r="F16" s="13" t="n"/>
      <c r="G16" s="49" t="n"/>
      <c r="H16" s="49" t="n"/>
      <c r="I16" s="49" t="n"/>
      <c r="J16" s="49" t="n"/>
      <c r="K16" s="49" t="n"/>
      <c r="L16" s="49" t="n"/>
      <c r="M16" s="49" t="n"/>
      <c r="N16" s="13" t="n"/>
    </row>
    <row r="17">
      <c r="A17" s="49" t="n"/>
      <c r="B17" s="49" t="n"/>
      <c r="C17" s="49" t="n"/>
      <c r="D17" s="49" t="inlineStr">
        <is>
          <t>common</t>
        </is>
      </c>
      <c r="E17" s="49" t="n">
        <v>20</v>
      </c>
      <c r="F17" s="13" t="n"/>
      <c r="G17" s="49" t="n"/>
      <c r="H17" s="49" t="n"/>
      <c r="I17" s="49" t="n"/>
      <c r="J17" s="49" t="n"/>
      <c r="K17" s="49" t="n"/>
      <c r="L17" s="49" t="n"/>
      <c r="M17" s="49" t="n"/>
      <c r="N17" s="13" t="n"/>
    </row>
    <row r="18">
      <c r="A18" s="49" t="n"/>
      <c r="B18" s="49" t="n"/>
      <c r="C18" s="49" t="n"/>
      <c r="D18" s="49" t="inlineStr">
        <is>
          <t>common</t>
        </is>
      </c>
      <c r="E18" s="49" t="n">
        <v>20</v>
      </c>
      <c r="F18" s="13" t="n"/>
      <c r="G18" s="49" t="n"/>
      <c r="H18" s="49" t="n"/>
      <c r="I18" s="49" t="n"/>
      <c r="J18" s="49" t="n"/>
      <c r="K18" s="49" t="n"/>
      <c r="L18" s="49" t="n"/>
      <c r="M18" s="49" t="n"/>
      <c r="N18" s="13" t="n"/>
    </row>
    <row r="19">
      <c r="A19" s="49" t="n"/>
      <c r="B19" s="49" t="n"/>
      <c r="C19" s="49" t="n"/>
      <c r="D19" s="49" t="n"/>
      <c r="E19" s="49" t="n"/>
      <c r="F19" s="13" t="n"/>
      <c r="G19" s="49" t="n"/>
      <c r="H19" s="49" t="n"/>
      <c r="I19" s="49" t="n"/>
      <c r="J19" s="49" t="n"/>
      <c r="K19" s="49" t="n"/>
      <c r="L19" s="49" t="n"/>
      <c r="M19" s="49" t="n"/>
      <c r="N19" s="13" t="n"/>
    </row>
    <row r="20">
      <c r="A20" s="49" t="n"/>
      <c r="B20" s="49" t="n"/>
      <c r="C20" s="49" t="n"/>
      <c r="D20" s="49" t="inlineStr">
        <is>
          <t>uncommon</t>
        </is>
      </c>
      <c r="E20" s="49" t="n"/>
      <c r="F20" s="13" t="inlineStr">
        <is>
          <t>10 AOE</t>
        </is>
      </c>
      <c r="G20" s="49" t="n"/>
      <c r="H20" s="49" t="n"/>
      <c r="I20" s="49" t="n"/>
      <c r="J20" s="49" t="n"/>
      <c r="K20" s="49" t="n"/>
      <c r="L20" s="49" t="n"/>
      <c r="M20" s="49" t="n"/>
      <c r="N20" s="13" t="n"/>
    </row>
    <row r="21">
      <c r="A21" s="49" t="n"/>
      <c r="B21" s="49" t="n"/>
      <c r="C21" s="49" t="n"/>
      <c r="D21" s="49" t="inlineStr">
        <is>
          <t>uncommon</t>
        </is>
      </c>
      <c r="E21" s="49" t="n"/>
      <c r="F21" s="13" t="inlineStr">
        <is>
          <t>+20% all bullet damage</t>
        </is>
      </c>
      <c r="G21" s="49" t="n"/>
      <c r="H21" s="49" t="n"/>
      <c r="I21" s="49" t="n"/>
      <c r="J21" s="49" t="n"/>
      <c r="K21" s="49" t="n"/>
      <c r="L21" s="49" t="n"/>
      <c r="M21" s="49" t="n"/>
      <c r="N21" s="13" t="n"/>
    </row>
    <row r="22">
      <c r="A22" s="49" t="n"/>
      <c r="B22" s="49" t="n"/>
      <c r="C22" s="49" t="n"/>
      <c r="D22" s="49" t="inlineStr">
        <is>
          <t>uncommon</t>
        </is>
      </c>
      <c r="E22" s="49" t="n"/>
      <c r="F22" s="13" t="n"/>
      <c r="G22" s="49" t="n"/>
      <c r="H22" s="49" t="n"/>
      <c r="I22" s="49" t="n"/>
      <c r="J22" s="49" t="n"/>
      <c r="K22" s="49" t="n"/>
      <c r="L22" s="49" t="n"/>
      <c r="M22" s="49" t="n"/>
      <c r="N22" s="13" t="n"/>
    </row>
    <row r="23">
      <c r="A23" s="49" t="n"/>
      <c r="B23" s="49" t="n"/>
      <c r="C23" s="49" t="n"/>
      <c r="D23" s="49" t="inlineStr">
        <is>
          <t>uncommon</t>
        </is>
      </c>
      <c r="E23" s="49" t="n"/>
      <c r="F23" s="13" t="n"/>
      <c r="G23" s="49" t="n"/>
      <c r="H23" s="49" t="n"/>
      <c r="I23" s="49" t="n"/>
      <c r="J23" s="49" t="n"/>
      <c r="K23" s="49" t="n"/>
      <c r="L23" s="49" t="n"/>
      <c r="M23" s="49" t="n"/>
      <c r="N23" s="13" t="n"/>
    </row>
    <row r="24">
      <c r="A24" s="49" t="n"/>
      <c r="B24" s="49" t="n"/>
      <c r="C24" s="49" t="n"/>
      <c r="D24" s="49" t="inlineStr">
        <is>
          <t>uncommon</t>
        </is>
      </c>
      <c r="E24" s="49" t="n"/>
      <c r="F24" s="13" t="n"/>
      <c r="G24" s="49" t="n"/>
      <c r="H24" s="49" t="n"/>
      <c r="I24" s="49" t="n"/>
      <c r="J24" s="49" t="n"/>
      <c r="K24" s="49" t="n"/>
      <c r="L24" s="49" t="n"/>
      <c r="M24" s="49" t="n"/>
      <c r="N24" s="13" t="n"/>
    </row>
    <row r="25">
      <c r="A25" s="49" t="n"/>
      <c r="B25" s="49" t="n"/>
      <c r="C25" s="49" t="n"/>
      <c r="D25" s="49" t="inlineStr">
        <is>
          <t>uncommon</t>
        </is>
      </c>
      <c r="E25" s="49" t="n"/>
      <c r="F25" s="13" t="n"/>
      <c r="G25" s="49" t="n"/>
      <c r="H25" s="49" t="n"/>
      <c r="I25" s="49" t="n"/>
      <c r="J25" s="49" t="n"/>
      <c r="K25" s="49" t="n"/>
      <c r="L25" s="49" t="n"/>
      <c r="M25" s="49" t="n"/>
      <c r="N25" s="13" t="n"/>
    </row>
    <row r="26">
      <c r="A26" s="49" t="n"/>
      <c r="B26" s="49" t="n"/>
      <c r="C26" s="49" t="n"/>
      <c r="D26" s="49" t="inlineStr">
        <is>
          <t>uncommon</t>
        </is>
      </c>
      <c r="E26" s="49" t="n"/>
      <c r="F26" s="13" t="n"/>
      <c r="G26" s="49" t="n"/>
      <c r="H26" s="49" t="n"/>
      <c r="I26" s="49" t="n"/>
      <c r="J26" s="49" t="n"/>
      <c r="K26" s="49" t="n"/>
      <c r="L26" s="49" t="n"/>
      <c r="M26" s="49" t="n"/>
      <c r="N26" s="13" t="n"/>
    </row>
    <row r="27">
      <c r="A27" s="49" t="n"/>
      <c r="B27" s="49" t="n"/>
      <c r="C27" s="49" t="n"/>
      <c r="D27" s="49" t="inlineStr">
        <is>
          <t>uncommon</t>
        </is>
      </c>
      <c r="E27" s="49" t="n"/>
      <c r="F27" s="13" t="n"/>
      <c r="G27" s="49" t="n"/>
      <c r="H27" s="49" t="n"/>
      <c r="I27" s="49" t="n"/>
      <c r="J27" s="49" t="n"/>
      <c r="K27" s="49" t="n"/>
      <c r="L27" s="49" t="n"/>
      <c r="M27" s="49" t="n"/>
      <c r="N27" s="13" t="n"/>
    </row>
    <row r="28">
      <c r="A28" s="49" t="inlineStr">
        <is>
          <t>ricochet_artist</t>
        </is>
      </c>
      <c r="B28" s="49" t="inlineStr">
        <is>
          <t xml:space="preserve">Ricochet </t>
        </is>
      </c>
      <c r="C28" s="49" t="inlineStr">
        <is>
          <t>conditional</t>
        </is>
      </c>
      <c r="D28" s="49" t="inlineStr">
        <is>
          <t>epic</t>
        </is>
      </c>
      <c r="E28" s="49" t="n">
        <v>60</v>
      </c>
      <c r="F28" s="13" t="inlineStr">
        <is>
          <t>×2 damage on bounced shots</t>
        </is>
      </c>
      <c r="G28" s="49" t="inlineStr">
        <is>
          <t>bounce_mult</t>
        </is>
      </c>
      <c r="H28" s="49" t="n">
        <v>2</v>
      </c>
      <c r="I28" s="49" t="n"/>
      <c r="J28" s="49" t="inlineStr">
        <is>
          <t>Bounce builds</t>
        </is>
      </c>
      <c r="K28" s="49" t="inlineStr">
        <is>
          <t>None</t>
        </is>
      </c>
      <c r="L28" s="49" t="n">
        <v>8</v>
      </c>
      <c r="M28" s="49" t="inlineStr">
        <is>
          <t>implemented</t>
        </is>
      </c>
      <c r="N28" s="13" t="inlineStr">
        <is>
          <t>Core identity pilot</t>
        </is>
      </c>
    </row>
    <row r="29">
      <c r="A29" s="49" t="n"/>
      <c r="B29" s="49" t="inlineStr">
        <is>
          <t>Firestarter</t>
        </is>
      </c>
      <c r="C29" s="49" t="inlineStr">
        <is>
          <t>conditional</t>
        </is>
      </c>
      <c r="D29" s="49" t="inlineStr">
        <is>
          <t>epic</t>
        </is>
      </c>
      <c r="E29" s="49" t="n">
        <v>60</v>
      </c>
      <c r="F29" s="13" t="inlineStr">
        <is>
          <t>x 1.5% fire damage</t>
        </is>
      </c>
      <c r="G29" s="49" t="inlineStr">
        <is>
          <t>fire_mult</t>
        </is>
      </c>
      <c r="H29" s="49" t="n"/>
      <c r="I29" s="49" t="n"/>
      <c r="J29" s="49" t="n"/>
      <c r="K29" s="49" t="n"/>
      <c r="L29" s="49" t="n"/>
      <c r="M29" s="49" t="inlineStr">
        <is>
          <t>idea</t>
        </is>
      </c>
      <c r="N29" s="13" t="n"/>
    </row>
    <row r="30">
      <c r="A30" s="49" t="n"/>
      <c r="B30" s="49" t="n"/>
      <c r="C30" s="49" t="inlineStr">
        <is>
          <t>conditional</t>
        </is>
      </c>
      <c r="D30" s="49" t="inlineStr">
        <is>
          <t>epic</t>
        </is>
      </c>
      <c r="E30" s="49" t="n">
        <v>60</v>
      </c>
      <c r="F30" s="13" t="n"/>
      <c r="G30" s="49" t="n"/>
      <c r="H30" s="49" t="n"/>
      <c r="I30" s="49" t="n"/>
      <c r="J30" s="49" t="n"/>
      <c r="K30" s="49" t="n"/>
      <c r="L30" s="49" t="n"/>
      <c r="M30" s="49" t="inlineStr">
        <is>
          <t>idea</t>
        </is>
      </c>
      <c r="N30" s="13" t="n"/>
    </row>
    <row r="31">
      <c r="A31" s="49" t="n"/>
      <c r="B31" s="49" t="n"/>
      <c r="C31" s="49" t="n"/>
      <c r="D31" s="49" t="inlineStr">
        <is>
          <t>legendary</t>
        </is>
      </c>
      <c r="E31" s="49" t="n">
        <v>80</v>
      </c>
      <c r="F31" s="13" t="inlineStr">
        <is>
          <t>x 2 all damage</t>
        </is>
      </c>
      <c r="G31" s="49" t="n"/>
      <c r="H31" s="49" t="n"/>
      <c r="I31" s="49" t="n"/>
      <c r="J31" s="49" t="n"/>
      <c r="K31" s="49" t="n"/>
      <c r="L31" s="49" t="n">
        <v>10</v>
      </c>
      <c r="M31" s="49" t="inlineStr">
        <is>
          <t>idea</t>
        </is>
      </c>
      <c r="N31" s="13" t="n"/>
    </row>
    <row r="32">
      <c r="A32" s="49" t="inlineStr">
        <is>
          <t>ballistic_expert</t>
        </is>
      </c>
      <c r="B32" s="49" t="inlineStr">
        <is>
          <t>Ballistic Expert</t>
        </is>
      </c>
      <c r="C32" s="49" t="inlineStr">
        <is>
          <t>weapon_type</t>
        </is>
      </c>
      <c r="D32" s="49" t="inlineStr">
        <is>
          <t>rare</t>
        </is>
      </c>
      <c r="E32" s="49" t="n">
        <v>40</v>
      </c>
      <c r="F32" s="13" t="inlineStr">
        <is>
          <t>×1.5 Ballistic damage</t>
        </is>
      </c>
      <c r="G32" s="49" t="inlineStr">
        <is>
          <t>weapon_type_mult</t>
        </is>
      </c>
      <c r="H32" s="49" t="n">
        <v>1.5</v>
      </c>
      <c r="I32" s="49" t="inlineStr">
        <is>
          <t>ballistic</t>
        </is>
      </c>
      <c r="J32" s="49" t="inlineStr">
        <is>
          <t>Ballistic focus</t>
        </is>
      </c>
      <c r="K32" s="49" t="inlineStr">
        <is>
          <t>Energy/Missile</t>
        </is>
      </c>
      <c r="L32" s="49" t="n">
        <v>6</v>
      </c>
      <c r="M32" s="49" t="inlineStr">
        <is>
          <t>implemented</t>
        </is>
      </c>
      <c r="N32" s="13" t="n"/>
    </row>
    <row r="33">
      <c r="A33" s="49" t="inlineStr">
        <is>
          <t>energy_specialist</t>
        </is>
      </c>
      <c r="B33" s="49" t="inlineStr">
        <is>
          <t>Energy Specialist</t>
        </is>
      </c>
      <c r="C33" s="49" t="inlineStr">
        <is>
          <t>weapon_type</t>
        </is>
      </c>
      <c r="D33" s="49" t="inlineStr">
        <is>
          <t>rare</t>
        </is>
      </c>
      <c r="E33" s="49" t="n">
        <v>40</v>
      </c>
      <c r="F33" s="13" t="inlineStr">
        <is>
          <t>×1.5 Energy damage</t>
        </is>
      </c>
      <c r="G33" s="49" t="inlineStr">
        <is>
          <t>weapon_type_mult</t>
        </is>
      </c>
      <c r="H33" s="49" t="n">
        <v>1.5</v>
      </c>
      <c r="I33" s="49" t="inlineStr">
        <is>
          <t>energy</t>
        </is>
      </c>
      <c r="J33" s="49" t="inlineStr">
        <is>
          <t>Energy focus</t>
        </is>
      </c>
      <c r="K33" s="49" t="inlineStr">
        <is>
          <t>Ballistic/Missile</t>
        </is>
      </c>
      <c r="L33" s="49" t="n">
        <v>6</v>
      </c>
      <c r="M33" s="49" t="inlineStr">
        <is>
          <t>implemented</t>
        </is>
      </c>
      <c r="N33" s="13" t="n"/>
    </row>
    <row r="34">
      <c r="A34" s="49" t="inlineStr">
        <is>
          <t>afterburner</t>
        </is>
      </c>
      <c r="B34" s="49" t="inlineStr">
        <is>
          <t xml:space="preserve">Speedy </t>
        </is>
      </c>
      <c r="C34" s="49" t="inlineStr">
        <is>
          <t>global</t>
        </is>
      </c>
      <c r="D34" s="49" t="inlineStr">
        <is>
          <t>rare</t>
        </is>
      </c>
      <c r="E34" s="49" t="n">
        <v>40</v>
      </c>
      <c r="F34" s="13" t="inlineStr">
        <is>
          <t>+40 Move Speed</t>
        </is>
      </c>
      <c r="G34" s="49" t="inlineStr">
        <is>
          <t>speed_boost</t>
        </is>
      </c>
      <c r="H34" s="49" t="n">
        <v>40</v>
      </c>
      <c r="I34" s="49" t="n"/>
      <c r="J34" s="49" t="inlineStr">
        <is>
          <t>Mobile builds</t>
        </is>
      </c>
      <c r="K34" s="49" t="inlineStr">
        <is>
          <t>None</t>
        </is>
      </c>
      <c r="L34" s="49" t="n">
        <v>4</v>
      </c>
      <c r="M34" s="49" t="inlineStr">
        <is>
          <t>implemented</t>
        </is>
      </c>
      <c r="N34" s="13" t="inlineStr">
        <is>
          <t>One-time stat on hire</t>
        </is>
      </c>
    </row>
    <row r="35">
      <c r="A35" s="49" t="inlineStr">
        <is>
          <t>health_guru</t>
        </is>
      </c>
      <c r="B35" s="49" t="inlineStr">
        <is>
          <t>Health Guru</t>
        </is>
      </c>
      <c r="C35" s="49" t="inlineStr">
        <is>
          <t>global</t>
        </is>
      </c>
      <c r="D35" s="49" t="inlineStr">
        <is>
          <t>rare</t>
        </is>
      </c>
      <c r="E35" s="49" t="n">
        <v>40</v>
      </c>
      <c r="F35" s="13" t="inlineStr">
        <is>
          <t>"+40 HP</t>
        </is>
      </c>
      <c r="G35" s="49" t="inlineStr">
        <is>
          <t>hp_boost</t>
        </is>
      </c>
      <c r="H35" s="49" t="n"/>
      <c r="I35" s="49" t="inlineStr">
        <is>
          <t>ballistic</t>
        </is>
      </c>
      <c r="J35" s="49" t="n"/>
      <c r="K35" s="49" t="n"/>
      <c r="L35" s="49" t="n"/>
      <c r="M35" s="49" t="inlineStr">
        <is>
          <t>idea</t>
        </is>
      </c>
      <c r="N35" s="13" t="n"/>
    </row>
    <row r="36">
      <c r="A36" s="49" t="n"/>
      <c r="B36" s="49" t="n"/>
      <c r="C36" s="49" t="inlineStr">
        <is>
          <t>weapon_type</t>
        </is>
      </c>
      <c r="D36" s="49" t="inlineStr">
        <is>
          <t>rare</t>
        </is>
      </c>
      <c r="E36" s="49" t="n">
        <v>40</v>
      </c>
      <c r="F36" s="13" t="n"/>
      <c r="G36" s="49" t="n"/>
      <c r="H36" s="49" t="n"/>
      <c r="I36" s="49" t="inlineStr">
        <is>
          <t>energy</t>
        </is>
      </c>
      <c r="J36" s="49" t="n"/>
      <c r="K36" s="49" t="n"/>
      <c r="L36" s="49" t="n"/>
      <c r="M36" s="49" t="inlineStr">
        <is>
          <t>idea</t>
        </is>
      </c>
      <c r="N36" s="13" t="n"/>
    </row>
    <row r="37">
      <c r="A37" s="49" t="n"/>
      <c r="B37" s="49" t="n"/>
      <c r="C37" s="49" t="inlineStr">
        <is>
          <t>weapon_type</t>
        </is>
      </c>
      <c r="D37" s="49" t="inlineStr">
        <is>
          <t>rare</t>
        </is>
      </c>
      <c r="E37" s="49" t="n">
        <v>40</v>
      </c>
      <c r="F37" s="13" t="n"/>
      <c r="G37" s="49" t="n"/>
      <c r="H37" s="49" t="n"/>
      <c r="I37" s="49" t="inlineStr">
        <is>
          <t>missile</t>
        </is>
      </c>
      <c r="J37" s="49" t="n"/>
      <c r="K37" s="49" t="n"/>
      <c r="L37" s="49" t="n"/>
      <c r="M37" s="49" t="inlineStr">
        <is>
          <t>idea</t>
        </is>
      </c>
      <c r="N37" s="13" t="n"/>
    </row>
    <row r="38">
      <c r="A38" s="49" t="inlineStr">
        <is>
          <t>THIS IS NOT A PILOT BUT A MODIFIER that can be added to each pilot card</t>
        </is>
      </c>
      <c r="B38" s="49" t="inlineStr">
        <is>
          <t>negative</t>
        </is>
      </c>
      <c r="C38" s="49" t="n"/>
      <c r="D38" s="49" t="inlineStr">
        <is>
          <t>rare</t>
        </is>
      </c>
      <c r="E38" s="49" t="n"/>
      <c r="F38" s="13" t="inlineStr">
        <is>
          <t>doesn't take up a slot</t>
        </is>
      </c>
      <c r="G38" s="49" t="n"/>
      <c r="H38" s="49" t="n"/>
      <c r="I38" s="49" t="n"/>
      <c r="J38" s="49" t="n"/>
      <c r="K38" s="49" t="n"/>
      <c r="L38" s="49" t="n"/>
      <c r="M38" s="49" t="inlineStr">
        <is>
          <t>idea</t>
        </is>
      </c>
      <c r="N38" s="13" t="n"/>
    </row>
    <row r="39">
      <c r="A39" s="49" t="inlineStr">
        <is>
          <t>THIS IS NOT A PILOT BUT A MODIFIER</t>
        </is>
      </c>
      <c r="B39" s="49" t="inlineStr">
        <is>
          <t>10 base mult</t>
        </is>
      </c>
      <c r="C39" s="49" t="n"/>
      <c r="D39" s="49" t="inlineStr">
        <is>
          <t>rare</t>
        </is>
      </c>
      <c r="E39" s="49" t="n"/>
      <c r="F39" s="13" t="inlineStr">
        <is>
          <t>Adds +10 to ALL stats globally</t>
        </is>
      </c>
      <c r="G39" s="49" t="n"/>
      <c r="H39" s="49" t="n"/>
      <c r="I39" s="49" t="n"/>
      <c r="J39" s="49" t="n"/>
      <c r="K39" s="49" t="n"/>
      <c r="L39" s="49" t="n"/>
      <c r="M39" s="49" t="inlineStr">
        <is>
          <t>idea</t>
        </is>
      </c>
      <c r="N39" s="13" t="n"/>
    </row>
    <row r="40">
      <c r="A40" s="49" t="inlineStr">
        <is>
          <t>THIS IS NOT A PILOT BUT A MODIFIER</t>
        </is>
      </c>
      <c r="B40" s="21" t="inlineStr">
        <is>
          <t>2 x</t>
        </is>
      </c>
      <c r="D40" s="49" t="inlineStr">
        <is>
          <t>rare</t>
        </is>
      </c>
      <c r="F40" s="21" t="inlineStr">
        <is>
          <t>doubles all Stats Globally</t>
        </is>
      </c>
    </row>
    <row r="41" ht="15.75" customHeight="1" s="70">
      <c r="A41" s="49" t="inlineStr">
        <is>
          <t>THIS IS NOT A PILOT BUT A MODIFIER</t>
        </is>
      </c>
    </row>
    <row r="42" ht="15.75" customHeight="1" s="70">
      <c r="A42" s="49" t="inlineStr">
        <is>
          <t>THIS IS NOT A PILOT BUT A MODIFIER</t>
        </is>
      </c>
    </row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  <row r="1001" ht="15.75" customHeight="1" s="70"/>
    <row r="1002" ht="15.75" customHeight="1" s="70"/>
    <row r="1003" ht="15.75" customHeight="1" s="70"/>
    <row r="1004" ht="15.75" customHeight="1" s="70"/>
    <row r="1005" ht="15.75" customHeight="1" s="70"/>
    <row r="1006" ht="15.75" customHeight="1" s="70"/>
    <row r="1007" ht="15.75" customHeight="1" s="70"/>
    <row r="1008" ht="15.75" customHeight="1" s="70"/>
    <row r="1009" ht="15.75" customHeight="1" s="70"/>
    <row r="1010" ht="15.75" customHeight="1" s="70"/>
    <row r="1011" ht="15.75" customHeight="1" s="70"/>
    <row r="1012" ht="15.75" customHeight="1" s="70"/>
    <row r="1013" ht="15.75" customHeight="1" s="70"/>
    <row r="1014" ht="15.75" customHeight="1" s="70"/>
    <row r="1015" ht="15.75" customHeight="1" s="70"/>
    <row r="1016" ht="15.75" customHeight="1" s="70"/>
    <row r="1017" ht="15.75" customHeight="1" s="70"/>
    <row r="1018" ht="15.75" customHeight="1" s="70"/>
    <row r="1019" ht="15.75" customHeight="1" s="70"/>
    <row r="1020" ht="15.75" customHeight="1" s="70"/>
  </sheetData>
  <autoFilter ref="$A$2:$N$39">
    <sortState ref="A2:N39">
      <sortCondition ref="D2:D39"/>
    </sortState>
  </autoFilter>
  <mergeCells count="1">
    <mergeCell ref="A1:N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70" min="1" max="1"/>
    <col width="35" customWidth="1" style="70" min="2" max="2"/>
    <col width="45" customWidth="1" style="70" min="3" max="3"/>
    <col width="15" customWidth="1" style="70" min="4" max="4"/>
    <col width="18" customWidth="1" style="70" min="5" max="5"/>
    <col width="12" customWidth="1" style="70" min="6" max="6"/>
    <col width="35" customWidth="1" style="70" min="7" max="7"/>
  </cols>
  <sheetData>
    <row r="1">
      <c r="A1" s="50" t="inlineStr">
        <is>
          <t>Combo Name</t>
        </is>
      </c>
      <c r="B1" s="50" t="inlineStr">
        <is>
          <t>Cards Required</t>
        </is>
      </c>
      <c r="C1" s="50" t="inlineStr">
        <is>
          <t>Effect Description</t>
        </is>
      </c>
      <c r="D1" s="50" t="inlineStr">
        <is>
          <t>Power Level (1-10)</t>
        </is>
      </c>
      <c r="E1" s="50" t="inlineStr">
        <is>
          <t>Difficulty to Pull Off</t>
        </is>
      </c>
      <c r="F1" s="50" t="inlineStr">
        <is>
          <t>Status</t>
        </is>
      </c>
      <c r="G1" s="50" t="inlineStr">
        <is>
          <t>Notes</t>
        </is>
      </c>
    </row>
    <row r="2">
      <c r="A2" s="54" t="inlineStr">
        <is>
          <t>The Stat Stacker</t>
        </is>
      </c>
      <c r="B2" s="54" t="inlineStr">
        <is>
          <t>Sturdy Frame, Shield Boost, Double Down</t>
        </is>
      </c>
      <c r="C2" s="54" t="inlineStr">
        <is>
          <t>Each stat card gives +5% all stats. With 2 stat cards = +10% everything</t>
        </is>
      </c>
      <c r="D2" s="54" t="inlineStr">
        <is>
          <t>7</t>
        </is>
      </c>
      <c r="E2" s="54" t="inlineStr">
        <is>
          <t>Easy</t>
        </is>
      </c>
      <c r="F2" s="54" t="inlineStr">
        <is>
          <t>Concept</t>
        </is>
      </c>
      <c r="G2" s="54" t="inlineStr">
        <is>
          <t>Rewards taking stat cards</t>
        </is>
      </c>
    </row>
    <row r="3">
      <c r="A3" s="54" t="inlineStr">
        <is>
          <t>The Infinite Bouncer</t>
        </is>
      </c>
      <c r="B3" s="54" t="inlineStr">
        <is>
          <t>Ricochet x3, Bounce Master, Super Bounce</t>
        </is>
      </c>
      <c r="C3" s="54" t="inlineStr">
        <is>
          <t>Bullets bounce 4+ times, each bounce +25% damage, bounced bullets deal +50%</t>
        </is>
      </c>
      <c r="D3" s="54" t="inlineStr">
        <is>
          <t>9</t>
        </is>
      </c>
      <c r="E3" s="54" t="inlineStr">
        <is>
          <t>Medium</t>
        </is>
      </c>
      <c r="F3" s="54" t="inlineStr">
        <is>
          <t>Concept</t>
        </is>
      </c>
      <c r="G3" s="54" t="inlineStr">
        <is>
          <t>Insane in corridors</t>
        </is>
      </c>
    </row>
    <row r="4">
      <c r="A4" s="54" t="inlineStr">
        <is>
          <t>Glass Cannon Assassin</t>
        </is>
      </c>
      <c r="B4" s="54" t="inlineStr">
        <is>
          <t>Minimalist, The Immortal, Last Stand</t>
        </is>
      </c>
      <c r="C4" s="54" t="inlineStr">
        <is>
          <t>At 10% HP with 3 cards = +650% damage</t>
        </is>
      </c>
      <c r="D4" s="54" t="inlineStr">
        <is>
          <t>10</t>
        </is>
      </c>
      <c r="E4" s="54" t="inlineStr">
        <is>
          <t>Hard</t>
        </is>
      </c>
      <c r="F4" s="54" t="inlineStr">
        <is>
          <t>Concept</t>
        </is>
      </c>
      <c r="G4" s="54" t="inlineStr">
        <is>
          <t>Requires perfect dodging</t>
        </is>
      </c>
    </row>
    <row r="5">
      <c r="A5" s="54" t="n"/>
      <c r="B5" s="54" t="n"/>
      <c r="C5" s="54" t="n"/>
      <c r="D5" s="54" t="n"/>
      <c r="E5" s="54" t="n"/>
      <c r="F5" s="54" t="n"/>
      <c r="G5" s="54" t="n"/>
    </row>
    <row r="6">
      <c r="A6" s="54" t="n"/>
      <c r="B6" s="54" t="n"/>
      <c r="C6" s="54" t="n"/>
      <c r="D6" s="54" t="n"/>
      <c r="E6" s="54" t="n"/>
      <c r="F6" s="54" t="n"/>
      <c r="G6" s="54" t="n"/>
    </row>
    <row r="7">
      <c r="A7" s="54" t="n"/>
      <c r="B7" s="54" t="n"/>
      <c r="C7" s="54" t="n"/>
      <c r="D7" s="54" t="n"/>
      <c r="E7" s="54" t="n"/>
      <c r="F7" s="54" t="n"/>
      <c r="G7" s="54" t="n"/>
    </row>
    <row r="8">
      <c r="A8" s="54" t="n"/>
      <c r="B8" s="54" t="n"/>
      <c r="C8" s="54" t="n"/>
      <c r="D8" s="54" t="n"/>
      <c r="E8" s="54" t="n"/>
      <c r="F8" s="54" t="n"/>
      <c r="G8" s="54" t="n"/>
    </row>
    <row r="9">
      <c r="A9" s="54" t="n"/>
      <c r="B9" s="54" t="n"/>
      <c r="C9" s="54" t="n"/>
      <c r="D9" s="54" t="n"/>
      <c r="E9" s="54" t="n"/>
      <c r="F9" s="54" t="n"/>
      <c r="G9" s="54" t="n"/>
    </row>
    <row r="10">
      <c r="A10" s="54" t="n"/>
      <c r="B10" s="54" t="n"/>
      <c r="C10" s="54" t="n"/>
      <c r="D10" s="54" t="n"/>
      <c r="E10" s="54" t="n"/>
      <c r="F10" s="54" t="n"/>
      <c r="G10" s="54" t="n"/>
    </row>
    <row r="11">
      <c r="A11" s="54" t="n"/>
      <c r="B11" s="54" t="n"/>
      <c r="C11" s="54" t="n"/>
      <c r="D11" s="54" t="n"/>
      <c r="E11" s="54" t="n"/>
      <c r="F11" s="54" t="n"/>
      <c r="G11" s="54" t="n"/>
    </row>
    <row r="12">
      <c r="A12" s="54" t="n"/>
      <c r="B12" s="54" t="n"/>
      <c r="C12" s="54" t="n"/>
      <c r="D12" s="54" t="n"/>
      <c r="E12" s="54" t="n"/>
      <c r="F12" s="54" t="n"/>
      <c r="G12" s="54" t="n"/>
    </row>
    <row r="13">
      <c r="A13" s="54" t="n"/>
      <c r="B13" s="54" t="n"/>
      <c r="C13" s="54" t="n"/>
      <c r="D13" s="54" t="n"/>
      <c r="E13" s="54" t="n"/>
      <c r="F13" s="54" t="n"/>
      <c r="G13" s="54" t="n"/>
    </row>
    <row r="14">
      <c r="A14" s="54" t="n"/>
      <c r="B14" s="54" t="n"/>
      <c r="C14" s="54" t="n"/>
      <c r="D14" s="54" t="n"/>
      <c r="E14" s="54" t="n"/>
      <c r="F14" s="54" t="n"/>
      <c r="G14" s="54" t="n"/>
    </row>
    <row r="15">
      <c r="A15" s="54" t="n"/>
      <c r="B15" s="54" t="n"/>
      <c r="C15" s="54" t="n"/>
      <c r="D15" s="54" t="n"/>
      <c r="E15" s="54" t="n"/>
      <c r="F15" s="54" t="n"/>
      <c r="G15" s="54" t="n"/>
    </row>
    <row r="16">
      <c r="A16" s="54" t="n"/>
      <c r="B16" s="54" t="n"/>
      <c r="C16" s="54" t="n"/>
      <c r="D16" s="54" t="n"/>
      <c r="E16" s="54" t="n"/>
      <c r="F16" s="54" t="n"/>
      <c r="G16" s="54" t="n"/>
    </row>
    <row r="17">
      <c r="A17" s="54" t="n"/>
      <c r="B17" s="54" t="n"/>
      <c r="C17" s="54" t="n"/>
      <c r="D17" s="54" t="n"/>
      <c r="E17" s="54" t="n"/>
      <c r="F17" s="54" t="n"/>
      <c r="G17" s="54" t="n"/>
    </row>
    <row r="18">
      <c r="A18" s="54" t="n"/>
      <c r="B18" s="54" t="n"/>
      <c r="C18" s="54" t="n"/>
      <c r="D18" s="54" t="n"/>
      <c r="E18" s="54" t="n"/>
      <c r="F18" s="54" t="n"/>
      <c r="G18" s="54" t="n"/>
    </row>
    <row r="19">
      <c r="A19" s="54" t="n"/>
      <c r="B19" s="54" t="n"/>
      <c r="C19" s="54" t="n"/>
      <c r="D19" s="54" t="n"/>
      <c r="E19" s="54" t="n"/>
      <c r="F19" s="54" t="n"/>
      <c r="G19" s="54" t="n"/>
    </row>
    <row r="20">
      <c r="A20" s="54" t="n"/>
      <c r="B20" s="54" t="n"/>
      <c r="C20" s="54" t="n"/>
      <c r="D20" s="54" t="n"/>
      <c r="E20" s="54" t="n"/>
      <c r="F20" s="54" t="n"/>
      <c r="G20" s="54" t="n"/>
    </row>
    <row r="21" ht="15.75" customHeight="1" s="70">
      <c r="A21" s="54" t="n"/>
      <c r="B21" s="54" t="n"/>
      <c r="C21" s="54" t="n"/>
      <c r="D21" s="54" t="n"/>
      <c r="E21" s="54" t="n"/>
      <c r="F21" s="54" t="n"/>
      <c r="G21" s="54" t="n"/>
    </row>
    <row r="22" ht="15.75" customHeight="1" s="70">
      <c r="A22" s="54" t="n"/>
      <c r="B22" s="54" t="n"/>
      <c r="C22" s="54" t="n"/>
      <c r="D22" s="54" t="n"/>
      <c r="E22" s="54" t="n"/>
      <c r="F22" s="54" t="n"/>
      <c r="G22" s="54" t="n"/>
    </row>
    <row r="23" ht="15.75" customHeight="1" s="70">
      <c r="A23" s="54" t="n"/>
      <c r="B23" s="54" t="n"/>
      <c r="C23" s="54" t="n"/>
      <c r="D23" s="54" t="n"/>
      <c r="E23" s="54" t="n"/>
      <c r="F23" s="54" t="n"/>
      <c r="G23" s="54" t="n"/>
    </row>
    <row r="24" ht="15.75" customHeight="1" s="70">
      <c r="A24" s="54" t="n"/>
      <c r="B24" s="54" t="n"/>
      <c r="C24" s="54" t="n"/>
      <c r="D24" s="54" t="n"/>
      <c r="E24" s="54" t="n"/>
      <c r="F24" s="54" t="n"/>
      <c r="G24" s="54" t="n"/>
    </row>
    <row r="25" ht="15.75" customHeight="1" s="70">
      <c r="A25" s="54" t="n"/>
      <c r="B25" s="54" t="n"/>
      <c r="C25" s="54" t="n"/>
      <c r="D25" s="54" t="n"/>
      <c r="E25" s="54" t="n"/>
      <c r="F25" s="54" t="n"/>
      <c r="G25" s="54" t="n"/>
    </row>
    <row r="26" ht="15.75" customHeight="1" s="70">
      <c r="A26" s="54" t="n"/>
      <c r="B26" s="54" t="n"/>
      <c r="C26" s="54" t="n"/>
      <c r="D26" s="54" t="n"/>
      <c r="E26" s="54" t="n"/>
      <c r="F26" s="54" t="n"/>
      <c r="G26" s="54" t="n"/>
    </row>
    <row r="27" ht="15.75" customHeight="1" s="70">
      <c r="A27" s="54" t="n"/>
      <c r="B27" s="54" t="n"/>
      <c r="C27" s="54" t="n"/>
      <c r="D27" s="54" t="n"/>
      <c r="E27" s="54" t="n"/>
      <c r="F27" s="54" t="n"/>
      <c r="G27" s="54" t="n"/>
    </row>
    <row r="28" ht="15.75" customHeight="1" s="70">
      <c r="A28" s="54" t="n"/>
      <c r="B28" s="54" t="n"/>
      <c r="C28" s="54" t="n"/>
      <c r="D28" s="54" t="n"/>
      <c r="E28" s="54" t="n"/>
      <c r="F28" s="54" t="n"/>
      <c r="G28" s="54" t="n"/>
    </row>
    <row r="29" ht="15.75" customHeight="1" s="70">
      <c r="A29" s="54" t="n"/>
      <c r="B29" s="54" t="n"/>
      <c r="C29" s="54" t="n"/>
      <c r="D29" s="54" t="n"/>
      <c r="E29" s="54" t="n"/>
      <c r="F29" s="54" t="n"/>
      <c r="G29" s="54" t="n"/>
    </row>
    <row r="30" ht="15.75" customHeight="1" s="70">
      <c r="A30" s="54" t="n"/>
      <c r="B30" s="54" t="n"/>
      <c r="C30" s="54" t="n"/>
      <c r="D30" s="54" t="n"/>
      <c r="E30" s="54" t="n"/>
      <c r="F30" s="54" t="n"/>
      <c r="G30" s="54" t="n"/>
    </row>
    <row r="31" ht="15.75" customHeight="1" s="70"/>
    <row r="32" ht="15.75" customHeight="1" s="70"/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70" min="1" max="1"/>
    <col width="12" customWidth="1" style="70" min="2" max="2"/>
    <col width="13.71" customWidth="1" style="70" min="3" max="3"/>
    <col width="14.43" customWidth="1" style="70" min="4" max="5"/>
    <col width="8.710000000000001" customWidth="1" style="70" min="6" max="6"/>
  </cols>
  <sheetData>
    <row r="1">
      <c r="A1" s="50" t="inlineStr">
        <is>
          <t>Rarity</t>
        </is>
      </c>
      <c r="B1" s="52" t="inlineStr">
        <is>
          <t>Target %</t>
        </is>
      </c>
      <c r="C1" s="50" t="inlineStr">
        <is>
          <t>Target Count</t>
        </is>
      </c>
      <c r="D1" s="50" t="inlineStr">
        <is>
          <t>Current Count</t>
        </is>
      </c>
      <c r="E1" s="50" t="inlineStr">
        <is>
          <t>Status</t>
        </is>
      </c>
    </row>
    <row r="2">
      <c r="A2" s="54" t="inlineStr">
        <is>
          <t>Common</t>
        </is>
      </c>
      <c r="B2" s="53" t="n">
        <v>0.6899999999999999</v>
      </c>
      <c r="C2" s="54" t="n">
        <v>60</v>
      </c>
      <c r="D2" s="54" t="n"/>
      <c r="E2" s="54" t="n"/>
    </row>
    <row r="3">
      <c r="A3" s="57" t="inlineStr">
        <is>
          <t>Uncommon</t>
        </is>
      </c>
      <c r="B3" s="56" t="n">
        <v>0.25</v>
      </c>
      <c r="C3" s="57" t="n">
        <v>60</v>
      </c>
      <c r="D3" s="57" t="n"/>
      <c r="E3" s="57" t="n"/>
    </row>
    <row r="4">
      <c r="A4" s="54" t="inlineStr">
        <is>
          <t>Rare</t>
        </is>
      </c>
      <c r="B4" s="53" t="n">
        <v>0.05</v>
      </c>
      <c r="C4" s="54" t="n">
        <v>20</v>
      </c>
      <c r="D4" s="54" t="n"/>
      <c r="E4" s="54" t="n"/>
    </row>
    <row r="5">
      <c r="A5" s="54" t="inlineStr">
        <is>
          <t>Legendary</t>
        </is>
      </c>
      <c r="B5" s="53" t="n">
        <v>0.01</v>
      </c>
      <c r="C5" s="54" t="n">
        <v>5</v>
      </c>
      <c r="D5" s="54" t="n"/>
      <c r="E5" s="54" t="n"/>
    </row>
    <row r="6">
      <c r="A6" s="60" t="inlineStr">
        <is>
          <t>TOTAL CARDS</t>
        </is>
      </c>
      <c r="B6" s="59">
        <f>SUM(B2:B5)</f>
        <v/>
      </c>
      <c r="C6" s="60">
        <f>SUM(C2:C5)</f>
        <v/>
      </c>
      <c r="D6" s="60">
        <f>SUM(D2:D5)</f>
        <v/>
      </c>
      <c r="E6" s="60" t="n"/>
    </row>
    <row r="7">
      <c r="B7" s="61" t="n"/>
    </row>
    <row r="8">
      <c r="B8" s="61" t="n"/>
    </row>
    <row r="9">
      <c r="B9" s="61" t="n"/>
    </row>
    <row r="10">
      <c r="B10" s="61" t="n"/>
    </row>
    <row r="11">
      <c r="B11" s="61" t="n"/>
    </row>
    <row r="12">
      <c r="B12" s="61" t="n"/>
    </row>
    <row r="13">
      <c r="B13" s="61" t="n"/>
    </row>
    <row r="14">
      <c r="B14" s="61" t="n"/>
    </row>
    <row r="15">
      <c r="B15" s="61" t="n"/>
    </row>
    <row r="16">
      <c r="B16" s="61" t="n"/>
    </row>
    <row r="17">
      <c r="B17" s="61" t="n"/>
    </row>
    <row r="18">
      <c r="B18" s="61" t="n"/>
    </row>
    <row r="19">
      <c r="B19" s="61" t="n"/>
    </row>
    <row r="20" ht="15.75" customHeight="1" s="70">
      <c r="B20" s="61" t="n"/>
    </row>
    <row r="21" ht="15.75" customHeight="1" s="70">
      <c r="B21" s="61" t="n"/>
    </row>
    <row r="22" ht="15.75" customHeight="1" s="70">
      <c r="B22" s="61" t="n"/>
    </row>
    <row r="23" ht="15.75" customHeight="1" s="70">
      <c r="B23" s="61" t="n"/>
    </row>
    <row r="24" ht="15.75" customHeight="1" s="70">
      <c r="B24" s="61" t="n"/>
    </row>
    <row r="25" ht="15.75" customHeight="1" s="70">
      <c r="B25" s="61" t="n"/>
    </row>
    <row r="26" ht="15.75" customHeight="1" s="70">
      <c r="B26" s="61" t="n"/>
    </row>
    <row r="27" ht="15.75" customHeight="1" s="70">
      <c r="B27" s="61" t="n"/>
    </row>
    <row r="28" ht="15.75" customHeight="1" s="70">
      <c r="B28" s="61" t="n"/>
    </row>
    <row r="29" ht="15.75" customHeight="1" s="70">
      <c r="B29" s="61" t="n"/>
    </row>
    <row r="30" ht="15.75" customHeight="1" s="70">
      <c r="B30" s="61" t="n"/>
    </row>
    <row r="31" ht="15.75" customHeight="1" s="70">
      <c r="B31" s="61" t="n"/>
    </row>
    <row r="32" ht="15.75" customHeight="1" s="70">
      <c r="B32" s="61" t="n"/>
    </row>
    <row r="33" ht="15.75" customHeight="1" s="70">
      <c r="B33" s="61" t="n"/>
    </row>
    <row r="34" ht="15.75" customHeight="1" s="70">
      <c r="B34" s="61" t="n"/>
    </row>
    <row r="35" ht="15.75" customHeight="1" s="70">
      <c r="B35" s="61" t="n"/>
    </row>
    <row r="36" ht="15.75" customHeight="1" s="70">
      <c r="B36" s="61" t="n"/>
    </row>
    <row r="37" ht="15.75" customHeight="1" s="70">
      <c r="B37" s="61" t="n"/>
    </row>
    <row r="38" ht="15.75" customHeight="1" s="70">
      <c r="B38" s="61" t="n"/>
    </row>
    <row r="39" ht="15.75" customHeight="1" s="70">
      <c r="B39" s="61" t="n"/>
    </row>
    <row r="40" ht="15.75" customHeight="1" s="70">
      <c r="B40" s="61" t="n"/>
    </row>
    <row r="41" ht="15.75" customHeight="1" s="70">
      <c r="B41" s="61" t="n"/>
    </row>
    <row r="42" ht="15.75" customHeight="1" s="70">
      <c r="B42" s="61" t="n"/>
    </row>
    <row r="43" ht="15.75" customHeight="1" s="70">
      <c r="B43" s="61" t="n"/>
    </row>
    <row r="44" ht="15.75" customHeight="1" s="70">
      <c r="B44" s="61" t="n"/>
    </row>
    <row r="45" ht="15.75" customHeight="1" s="70">
      <c r="B45" s="61" t="n"/>
    </row>
    <row r="46" ht="15.75" customHeight="1" s="70">
      <c r="B46" s="61" t="n"/>
    </row>
    <row r="47" ht="15.75" customHeight="1" s="70">
      <c r="B47" s="61" t="n"/>
    </row>
    <row r="48" ht="15.75" customHeight="1" s="70">
      <c r="B48" s="61" t="n"/>
    </row>
    <row r="49" ht="15.75" customHeight="1" s="70">
      <c r="B49" s="61" t="n"/>
    </row>
    <row r="50" ht="15.75" customHeight="1" s="70">
      <c r="B50" s="61" t="n"/>
    </row>
    <row r="51" ht="15.75" customHeight="1" s="70">
      <c r="B51" s="61" t="n"/>
    </row>
    <row r="52" ht="15.75" customHeight="1" s="70">
      <c r="B52" s="61" t="n"/>
    </row>
    <row r="53" ht="15.75" customHeight="1" s="70">
      <c r="B53" s="61" t="n"/>
    </row>
    <row r="54" ht="15.75" customHeight="1" s="70">
      <c r="B54" s="61" t="n"/>
    </row>
    <row r="55" ht="15.75" customHeight="1" s="70">
      <c r="B55" s="61" t="n"/>
    </row>
    <row r="56" ht="15.75" customHeight="1" s="70">
      <c r="B56" s="61" t="n"/>
    </row>
    <row r="57" ht="15.75" customHeight="1" s="70">
      <c r="B57" s="61" t="n"/>
    </row>
    <row r="58" ht="15.75" customHeight="1" s="70">
      <c r="B58" s="61" t="n"/>
    </row>
    <row r="59" ht="15.75" customHeight="1" s="70">
      <c r="B59" s="61" t="n"/>
    </row>
    <row r="60" ht="15.75" customHeight="1" s="70">
      <c r="B60" s="61" t="n"/>
    </row>
    <row r="61" ht="15.75" customHeight="1" s="70">
      <c r="B61" s="61" t="n"/>
    </row>
    <row r="62" ht="15.75" customHeight="1" s="70">
      <c r="B62" s="61" t="n"/>
    </row>
    <row r="63" ht="15.75" customHeight="1" s="70">
      <c r="B63" s="61" t="n"/>
    </row>
    <row r="64" ht="15.75" customHeight="1" s="70">
      <c r="B64" s="61" t="n"/>
    </row>
    <row r="65" ht="15.75" customHeight="1" s="70">
      <c r="B65" s="61" t="n"/>
    </row>
    <row r="66" ht="15.75" customHeight="1" s="70">
      <c r="B66" s="61" t="n"/>
    </row>
    <row r="67" ht="15.75" customHeight="1" s="70">
      <c r="B67" s="61" t="n"/>
    </row>
    <row r="68" ht="15.75" customHeight="1" s="70">
      <c r="B68" s="61" t="n"/>
    </row>
    <row r="69" ht="15.75" customHeight="1" s="70">
      <c r="B69" s="61" t="n"/>
    </row>
    <row r="70" ht="15.75" customHeight="1" s="70">
      <c r="B70" s="61" t="n"/>
    </row>
    <row r="71" ht="15.75" customHeight="1" s="70">
      <c r="B71" s="61" t="n"/>
    </row>
    <row r="72" ht="15.75" customHeight="1" s="70">
      <c r="B72" s="61" t="n"/>
    </row>
    <row r="73" ht="15.75" customHeight="1" s="70">
      <c r="B73" s="61" t="n"/>
    </row>
    <row r="74" ht="15.75" customHeight="1" s="70">
      <c r="B74" s="61" t="n"/>
    </row>
    <row r="75" ht="15.75" customHeight="1" s="70">
      <c r="B75" s="61" t="n"/>
    </row>
    <row r="76" ht="15.75" customHeight="1" s="70">
      <c r="B76" s="61" t="n"/>
    </row>
    <row r="77" ht="15.75" customHeight="1" s="70">
      <c r="B77" s="61" t="n"/>
    </row>
    <row r="78" ht="15.75" customHeight="1" s="70">
      <c r="B78" s="61" t="n"/>
    </row>
    <row r="79" ht="15.75" customHeight="1" s="70">
      <c r="B79" s="61" t="n"/>
    </row>
    <row r="80" ht="15.75" customHeight="1" s="70">
      <c r="B80" s="61" t="n"/>
    </row>
    <row r="81" ht="15.75" customHeight="1" s="70">
      <c r="B81" s="61" t="n"/>
    </row>
    <row r="82" ht="15.75" customHeight="1" s="70">
      <c r="B82" s="61" t="n"/>
    </row>
    <row r="83" ht="15.75" customHeight="1" s="70">
      <c r="B83" s="61" t="n"/>
    </row>
    <row r="84" ht="15.75" customHeight="1" s="70">
      <c r="B84" s="61" t="n"/>
    </row>
    <row r="85" ht="15.75" customHeight="1" s="70">
      <c r="B85" s="61" t="n"/>
    </row>
    <row r="86" ht="15.75" customHeight="1" s="70">
      <c r="B86" s="61" t="n"/>
    </row>
    <row r="87" ht="15.75" customHeight="1" s="70">
      <c r="B87" s="61" t="n"/>
    </row>
    <row r="88" ht="15.75" customHeight="1" s="70">
      <c r="B88" s="61" t="n"/>
    </row>
    <row r="89" ht="15.75" customHeight="1" s="70">
      <c r="B89" s="61" t="n"/>
    </row>
    <row r="90" ht="15.75" customHeight="1" s="70">
      <c r="B90" s="61" t="n"/>
    </row>
    <row r="91" ht="15.75" customHeight="1" s="70">
      <c r="B91" s="61" t="n"/>
    </row>
    <row r="92" ht="15.75" customHeight="1" s="70">
      <c r="B92" s="61" t="n"/>
    </row>
    <row r="93" ht="15.75" customHeight="1" s="70">
      <c r="B93" s="61" t="n"/>
    </row>
    <row r="94" ht="15.75" customHeight="1" s="70">
      <c r="B94" s="61" t="n"/>
    </row>
    <row r="95" ht="15.75" customHeight="1" s="70">
      <c r="B95" s="61" t="n"/>
    </row>
    <row r="96" ht="15.75" customHeight="1" s="70">
      <c r="B96" s="61" t="n"/>
    </row>
    <row r="97" ht="15.75" customHeight="1" s="70">
      <c r="B97" s="61" t="n"/>
    </row>
    <row r="98" ht="15.75" customHeight="1" s="70">
      <c r="B98" s="61" t="n"/>
    </row>
    <row r="99" ht="15.75" customHeight="1" s="70">
      <c r="B99" s="61" t="n"/>
    </row>
    <row r="100" ht="15.75" customHeight="1" s="70">
      <c r="B100" s="61" t="n"/>
    </row>
    <row r="101" ht="15.75" customHeight="1" s="70">
      <c r="B101" s="61" t="n"/>
    </row>
    <row r="102" ht="15.75" customHeight="1" s="70">
      <c r="B102" s="61" t="n"/>
    </row>
    <row r="103" ht="15.75" customHeight="1" s="70">
      <c r="B103" s="61" t="n"/>
    </row>
    <row r="104" ht="15.75" customHeight="1" s="70">
      <c r="B104" s="61" t="n"/>
    </row>
    <row r="105" ht="15.75" customHeight="1" s="70">
      <c r="B105" s="61" t="n"/>
    </row>
    <row r="106" ht="15.75" customHeight="1" s="70">
      <c r="B106" s="61" t="n"/>
    </row>
    <row r="107" ht="15.75" customHeight="1" s="70">
      <c r="B107" s="61" t="n"/>
    </row>
    <row r="108" ht="15.75" customHeight="1" s="70">
      <c r="B108" s="61" t="n"/>
    </row>
    <row r="109" ht="15.75" customHeight="1" s="70">
      <c r="B109" s="61" t="n"/>
    </row>
    <row r="110" ht="15.75" customHeight="1" s="70">
      <c r="B110" s="61" t="n"/>
    </row>
    <row r="111" ht="15.75" customHeight="1" s="70">
      <c r="B111" s="61" t="n"/>
    </row>
    <row r="112" ht="15.75" customHeight="1" s="70">
      <c r="B112" s="61" t="n"/>
    </row>
    <row r="113" ht="15.75" customHeight="1" s="70">
      <c r="B113" s="61" t="n"/>
    </row>
    <row r="114" ht="15.75" customHeight="1" s="70">
      <c r="B114" s="61" t="n"/>
    </row>
    <row r="115" ht="15.75" customHeight="1" s="70">
      <c r="B115" s="61" t="n"/>
    </row>
    <row r="116" ht="15.75" customHeight="1" s="70">
      <c r="B116" s="61" t="n"/>
    </row>
    <row r="117" ht="15.75" customHeight="1" s="70">
      <c r="B117" s="61" t="n"/>
    </row>
    <row r="118" ht="15.75" customHeight="1" s="70">
      <c r="B118" s="61" t="n"/>
    </row>
    <row r="119" ht="15.75" customHeight="1" s="70">
      <c r="B119" s="61" t="n"/>
    </row>
    <row r="120" ht="15.75" customHeight="1" s="70">
      <c r="B120" s="61" t="n"/>
    </row>
    <row r="121" ht="15.75" customHeight="1" s="70">
      <c r="B121" s="61" t="n"/>
    </row>
    <row r="122" ht="15.75" customHeight="1" s="70">
      <c r="B122" s="61" t="n"/>
    </row>
    <row r="123" ht="15.75" customHeight="1" s="70">
      <c r="B123" s="61" t="n"/>
    </row>
    <row r="124" ht="15.75" customHeight="1" s="70">
      <c r="B124" s="61" t="n"/>
    </row>
    <row r="125" ht="15.75" customHeight="1" s="70">
      <c r="B125" s="61" t="n"/>
    </row>
    <row r="126" ht="15.75" customHeight="1" s="70">
      <c r="B126" s="61" t="n"/>
    </row>
    <row r="127" ht="15.75" customHeight="1" s="70">
      <c r="B127" s="61" t="n"/>
    </row>
    <row r="128" ht="15.75" customHeight="1" s="70">
      <c r="B128" s="61" t="n"/>
    </row>
    <row r="129" ht="15.75" customHeight="1" s="70">
      <c r="B129" s="61" t="n"/>
    </row>
    <row r="130" ht="15.75" customHeight="1" s="70">
      <c r="B130" s="61" t="n"/>
    </row>
    <row r="131" ht="15.75" customHeight="1" s="70">
      <c r="B131" s="61" t="n"/>
    </row>
    <row r="132" ht="15.75" customHeight="1" s="70">
      <c r="B132" s="61" t="n"/>
    </row>
    <row r="133" ht="15.75" customHeight="1" s="70">
      <c r="B133" s="61" t="n"/>
    </row>
    <row r="134" ht="15.75" customHeight="1" s="70">
      <c r="B134" s="61" t="n"/>
    </row>
    <row r="135" ht="15.75" customHeight="1" s="70">
      <c r="B135" s="61" t="n"/>
    </row>
    <row r="136" ht="15.75" customHeight="1" s="70">
      <c r="B136" s="61" t="n"/>
    </row>
    <row r="137" ht="15.75" customHeight="1" s="70">
      <c r="B137" s="61" t="n"/>
    </row>
    <row r="138" ht="15.75" customHeight="1" s="70">
      <c r="B138" s="61" t="n"/>
    </row>
    <row r="139" ht="15.75" customHeight="1" s="70">
      <c r="B139" s="61" t="n"/>
    </row>
    <row r="140" ht="15.75" customHeight="1" s="70">
      <c r="B140" s="61" t="n"/>
    </row>
    <row r="141" ht="15.75" customHeight="1" s="70">
      <c r="B141" s="61" t="n"/>
    </row>
    <row r="142" ht="15.75" customHeight="1" s="70">
      <c r="B142" s="61" t="n"/>
    </row>
    <row r="143" ht="15.75" customHeight="1" s="70">
      <c r="B143" s="61" t="n"/>
    </row>
    <row r="144" ht="15.75" customHeight="1" s="70">
      <c r="B144" s="61" t="n"/>
    </row>
    <row r="145" ht="15.75" customHeight="1" s="70">
      <c r="B145" s="61" t="n"/>
    </row>
    <row r="146" ht="15.75" customHeight="1" s="70">
      <c r="B146" s="61" t="n"/>
    </row>
    <row r="147" ht="15.75" customHeight="1" s="70">
      <c r="B147" s="61" t="n"/>
    </row>
    <row r="148" ht="15.75" customHeight="1" s="70">
      <c r="B148" s="61" t="n"/>
    </row>
    <row r="149" ht="15.75" customHeight="1" s="70">
      <c r="B149" s="61" t="n"/>
    </row>
    <row r="150" ht="15.75" customHeight="1" s="70">
      <c r="B150" s="61" t="n"/>
    </row>
    <row r="151" ht="15.75" customHeight="1" s="70">
      <c r="B151" s="61" t="n"/>
    </row>
    <row r="152" ht="15.75" customHeight="1" s="70">
      <c r="B152" s="61" t="n"/>
    </row>
    <row r="153" ht="15.75" customHeight="1" s="70">
      <c r="B153" s="61" t="n"/>
    </row>
    <row r="154" ht="15.75" customHeight="1" s="70">
      <c r="B154" s="61" t="n"/>
    </row>
    <row r="155" ht="15.75" customHeight="1" s="70">
      <c r="B155" s="61" t="n"/>
    </row>
    <row r="156" ht="15.75" customHeight="1" s="70">
      <c r="B156" s="61" t="n"/>
    </row>
    <row r="157" ht="15.75" customHeight="1" s="70">
      <c r="B157" s="61" t="n"/>
    </row>
    <row r="158" ht="15.75" customHeight="1" s="70">
      <c r="B158" s="61" t="n"/>
    </row>
    <row r="159" ht="15.75" customHeight="1" s="70">
      <c r="B159" s="61" t="n"/>
    </row>
    <row r="160" ht="15.75" customHeight="1" s="70">
      <c r="B160" s="61" t="n"/>
    </row>
    <row r="161" ht="15.75" customHeight="1" s="70">
      <c r="B161" s="61" t="n"/>
    </row>
    <row r="162" ht="15.75" customHeight="1" s="70">
      <c r="B162" s="61" t="n"/>
    </row>
    <row r="163" ht="15.75" customHeight="1" s="70">
      <c r="B163" s="61" t="n"/>
    </row>
    <row r="164" ht="15.75" customHeight="1" s="70">
      <c r="B164" s="61" t="n"/>
    </row>
    <row r="165" ht="15.75" customHeight="1" s="70">
      <c r="B165" s="61" t="n"/>
    </row>
    <row r="166" ht="15.75" customHeight="1" s="70">
      <c r="B166" s="61" t="n"/>
    </row>
    <row r="167" ht="15.75" customHeight="1" s="70">
      <c r="B167" s="61" t="n"/>
    </row>
    <row r="168" ht="15.75" customHeight="1" s="70">
      <c r="B168" s="61" t="n"/>
    </row>
    <row r="169" ht="15.75" customHeight="1" s="70">
      <c r="B169" s="61" t="n"/>
    </row>
    <row r="170" ht="15.75" customHeight="1" s="70">
      <c r="B170" s="61" t="n"/>
    </row>
    <row r="171" ht="15.75" customHeight="1" s="70">
      <c r="B171" s="61" t="n"/>
    </row>
    <row r="172" ht="15.75" customHeight="1" s="70">
      <c r="B172" s="61" t="n"/>
    </row>
    <row r="173" ht="15.75" customHeight="1" s="70">
      <c r="B173" s="61" t="n"/>
    </row>
    <row r="174" ht="15.75" customHeight="1" s="70">
      <c r="B174" s="61" t="n"/>
    </row>
    <row r="175" ht="15.75" customHeight="1" s="70">
      <c r="B175" s="61" t="n"/>
    </row>
    <row r="176" ht="15.75" customHeight="1" s="70">
      <c r="B176" s="61" t="n"/>
    </row>
    <row r="177" ht="15.75" customHeight="1" s="70">
      <c r="B177" s="61" t="n"/>
    </row>
    <row r="178" ht="15.75" customHeight="1" s="70">
      <c r="B178" s="61" t="n"/>
    </row>
    <row r="179" ht="15.75" customHeight="1" s="70">
      <c r="B179" s="61" t="n"/>
    </row>
    <row r="180" ht="15.75" customHeight="1" s="70">
      <c r="B180" s="61" t="n"/>
    </row>
    <row r="181" ht="15.75" customHeight="1" s="70">
      <c r="B181" s="61" t="n"/>
    </row>
    <row r="182" ht="15.75" customHeight="1" s="70">
      <c r="B182" s="61" t="n"/>
    </row>
    <row r="183" ht="15.75" customHeight="1" s="70">
      <c r="B183" s="61" t="n"/>
    </row>
    <row r="184" ht="15.75" customHeight="1" s="70">
      <c r="B184" s="61" t="n"/>
    </row>
    <row r="185" ht="15.75" customHeight="1" s="70">
      <c r="B185" s="61" t="n"/>
    </row>
    <row r="186" ht="15.75" customHeight="1" s="70">
      <c r="B186" s="61" t="n"/>
    </row>
    <row r="187" ht="15.75" customHeight="1" s="70">
      <c r="B187" s="61" t="n"/>
    </row>
    <row r="188" ht="15.75" customHeight="1" s="70">
      <c r="B188" s="61" t="n"/>
    </row>
    <row r="189" ht="15.75" customHeight="1" s="70">
      <c r="B189" s="61" t="n"/>
    </row>
    <row r="190" ht="15.75" customHeight="1" s="70">
      <c r="B190" s="61" t="n"/>
    </row>
    <row r="191" ht="15.75" customHeight="1" s="70">
      <c r="B191" s="61" t="n"/>
    </row>
    <row r="192" ht="15.75" customHeight="1" s="70">
      <c r="B192" s="61" t="n"/>
    </row>
    <row r="193" ht="15.75" customHeight="1" s="70">
      <c r="B193" s="61" t="n"/>
    </row>
    <row r="194" ht="15.75" customHeight="1" s="70">
      <c r="B194" s="61" t="n"/>
    </row>
    <row r="195" ht="15.75" customHeight="1" s="70">
      <c r="B195" s="61" t="n"/>
    </row>
    <row r="196" ht="15.75" customHeight="1" s="70">
      <c r="B196" s="61" t="n"/>
    </row>
    <row r="197" ht="15.75" customHeight="1" s="70">
      <c r="B197" s="61" t="n"/>
    </row>
    <row r="198" ht="15.75" customHeight="1" s="70">
      <c r="B198" s="61" t="n"/>
    </row>
    <row r="199" ht="15.75" customHeight="1" s="70">
      <c r="B199" s="61" t="n"/>
    </row>
    <row r="200" ht="15.75" customHeight="1" s="70">
      <c r="B200" s="61" t="n"/>
    </row>
    <row r="201" ht="15.75" customHeight="1" s="70">
      <c r="B201" s="61" t="n"/>
    </row>
    <row r="202" ht="15.75" customHeight="1" s="70">
      <c r="B202" s="61" t="n"/>
    </row>
    <row r="203" ht="15.75" customHeight="1" s="70">
      <c r="B203" s="61" t="n"/>
    </row>
    <row r="204" ht="15.75" customHeight="1" s="70">
      <c r="B204" s="61" t="n"/>
    </row>
    <row r="205" ht="15.75" customHeight="1" s="70">
      <c r="B205" s="61" t="n"/>
    </row>
    <row r="206" ht="15.75" customHeight="1" s="70">
      <c r="B206" s="61" t="n"/>
    </row>
    <row r="207" ht="15.75" customHeight="1" s="70">
      <c r="B207" s="61" t="n"/>
    </row>
    <row r="208" ht="15.75" customHeight="1" s="70">
      <c r="B208" s="61" t="n"/>
    </row>
    <row r="209" ht="15.75" customHeight="1" s="70">
      <c r="B209" s="61" t="n"/>
    </row>
    <row r="210" ht="15.75" customHeight="1" s="70">
      <c r="B210" s="61" t="n"/>
    </row>
    <row r="211" ht="15.75" customHeight="1" s="70">
      <c r="B211" s="61" t="n"/>
    </row>
    <row r="212" ht="15.75" customHeight="1" s="70">
      <c r="B212" s="61" t="n"/>
    </row>
    <row r="213" ht="15.75" customHeight="1" s="70">
      <c r="B213" s="61" t="n"/>
    </row>
    <row r="214" ht="15.75" customHeight="1" s="70">
      <c r="B214" s="61" t="n"/>
    </row>
    <row r="215" ht="15.75" customHeight="1" s="70">
      <c r="B215" s="61" t="n"/>
    </row>
    <row r="216" ht="15.75" customHeight="1" s="70">
      <c r="B216" s="61" t="n"/>
    </row>
    <row r="217" ht="15.75" customHeight="1" s="70">
      <c r="B217" s="61" t="n"/>
    </row>
    <row r="218" ht="15.75" customHeight="1" s="70">
      <c r="B218" s="61" t="n"/>
    </row>
    <row r="219" ht="15.75" customHeight="1" s="70">
      <c r="B219" s="61" t="n"/>
    </row>
    <row r="220" ht="15.75" customHeight="1" s="70">
      <c r="B220" s="61" t="n"/>
    </row>
    <row r="221" ht="15.75" customHeight="1" s="70">
      <c r="B221" s="61" t="n"/>
    </row>
    <row r="222" ht="15.75" customHeight="1" s="70">
      <c r="B222" s="61" t="n"/>
    </row>
    <row r="223" ht="15.75" customHeight="1" s="70">
      <c r="B223" s="61" t="n"/>
    </row>
    <row r="224" ht="15.75" customHeight="1" s="70">
      <c r="B224" s="61" t="n"/>
    </row>
    <row r="225" ht="15.75" customHeight="1" s="70">
      <c r="B225" s="61" t="n"/>
    </row>
    <row r="226" ht="15.75" customHeight="1" s="70">
      <c r="B226" s="61" t="n"/>
    </row>
    <row r="227" ht="15.75" customHeight="1" s="70">
      <c r="B227" s="61" t="n"/>
    </row>
    <row r="228" ht="15.75" customHeight="1" s="70">
      <c r="B228" s="61" t="n"/>
    </row>
    <row r="229" ht="15.75" customHeight="1" s="70">
      <c r="B229" s="61" t="n"/>
    </row>
    <row r="230" ht="15.75" customHeight="1" s="70">
      <c r="B230" s="61" t="n"/>
    </row>
    <row r="231" ht="15.75" customHeight="1" s="70">
      <c r="B231" s="61" t="n"/>
    </row>
    <row r="232" ht="15.75" customHeight="1" s="70">
      <c r="B232" s="61" t="n"/>
    </row>
    <row r="233" ht="15.75" customHeight="1" s="70">
      <c r="B233" s="61" t="n"/>
    </row>
    <row r="234" ht="15.75" customHeight="1" s="70">
      <c r="B234" s="61" t="n"/>
    </row>
    <row r="235" ht="15.75" customHeight="1" s="70">
      <c r="B235" s="61" t="n"/>
    </row>
    <row r="236" ht="15.75" customHeight="1" s="70">
      <c r="B236" s="61" t="n"/>
    </row>
    <row r="237" ht="15.75" customHeight="1" s="70">
      <c r="B237" s="61" t="n"/>
    </row>
    <row r="238" ht="15.75" customHeight="1" s="70">
      <c r="B238" s="61" t="n"/>
    </row>
    <row r="239" ht="15.75" customHeight="1" s="70">
      <c r="B239" s="61" t="n"/>
    </row>
    <row r="240" ht="15.75" customHeight="1" s="70">
      <c r="B240" s="61" t="n"/>
    </row>
    <row r="241" ht="15.75" customHeight="1" s="70">
      <c r="B241" s="61" t="n"/>
    </row>
    <row r="242" ht="15.75" customHeight="1" s="70">
      <c r="B242" s="61" t="n"/>
    </row>
    <row r="243" ht="15.75" customHeight="1" s="70">
      <c r="B243" s="61" t="n"/>
    </row>
    <row r="244" ht="15.75" customHeight="1" s="70">
      <c r="B244" s="61" t="n"/>
    </row>
    <row r="245" ht="15.75" customHeight="1" s="70">
      <c r="B245" s="61" t="n"/>
    </row>
    <row r="246" ht="15.75" customHeight="1" s="70">
      <c r="B246" s="61" t="n"/>
    </row>
    <row r="247" ht="15.75" customHeight="1" s="70">
      <c r="B247" s="61" t="n"/>
    </row>
    <row r="248" ht="15.75" customHeight="1" s="70">
      <c r="B248" s="61" t="n"/>
    </row>
    <row r="249" ht="15.75" customHeight="1" s="70">
      <c r="B249" s="61" t="n"/>
    </row>
    <row r="250" ht="15.75" customHeight="1" s="70">
      <c r="B250" s="61" t="n"/>
    </row>
    <row r="251" ht="15.75" customHeight="1" s="70">
      <c r="B251" s="61" t="n"/>
    </row>
    <row r="252" ht="15.75" customHeight="1" s="70">
      <c r="B252" s="61" t="n"/>
    </row>
    <row r="253" ht="15.75" customHeight="1" s="70">
      <c r="B253" s="61" t="n"/>
    </row>
    <row r="254" ht="15.75" customHeight="1" s="70">
      <c r="B254" s="61" t="n"/>
    </row>
    <row r="255" ht="15.75" customHeight="1" s="70">
      <c r="B255" s="61" t="n"/>
    </row>
    <row r="256" ht="15.75" customHeight="1" s="70">
      <c r="B256" s="61" t="n"/>
    </row>
    <row r="257" ht="15.75" customHeight="1" s="70">
      <c r="B257" s="61" t="n"/>
    </row>
    <row r="258" ht="15.75" customHeight="1" s="70">
      <c r="B258" s="61" t="n"/>
    </row>
    <row r="259" ht="15.75" customHeight="1" s="70">
      <c r="B259" s="61" t="n"/>
    </row>
    <row r="260" ht="15.75" customHeight="1" s="70">
      <c r="B260" s="61" t="n"/>
    </row>
    <row r="261" ht="15.75" customHeight="1" s="70">
      <c r="B261" s="61" t="n"/>
    </row>
    <row r="262" ht="15.75" customHeight="1" s="70">
      <c r="B262" s="61" t="n"/>
    </row>
    <row r="263" ht="15.75" customHeight="1" s="70">
      <c r="B263" s="61" t="n"/>
    </row>
    <row r="264" ht="15.75" customHeight="1" s="70">
      <c r="B264" s="61" t="n"/>
    </row>
    <row r="265" ht="15.75" customHeight="1" s="70">
      <c r="B265" s="61" t="n"/>
    </row>
    <row r="266" ht="15.75" customHeight="1" s="70">
      <c r="B266" s="61" t="n"/>
    </row>
    <row r="267" ht="15.75" customHeight="1" s="70">
      <c r="B267" s="61" t="n"/>
    </row>
    <row r="268" ht="15.75" customHeight="1" s="70">
      <c r="B268" s="61" t="n"/>
    </row>
    <row r="269" ht="15.75" customHeight="1" s="70">
      <c r="B269" s="61" t="n"/>
    </row>
    <row r="270" ht="15.75" customHeight="1" s="70">
      <c r="B270" s="61" t="n"/>
    </row>
    <row r="271" ht="15.75" customHeight="1" s="70">
      <c r="B271" s="61" t="n"/>
    </row>
    <row r="272" ht="15.75" customHeight="1" s="70">
      <c r="B272" s="61" t="n"/>
    </row>
    <row r="273" ht="15.75" customHeight="1" s="70">
      <c r="B273" s="61" t="n"/>
    </row>
    <row r="274" ht="15.75" customHeight="1" s="70">
      <c r="B274" s="61" t="n"/>
    </row>
    <row r="275" ht="15.75" customHeight="1" s="70">
      <c r="B275" s="61" t="n"/>
    </row>
    <row r="276" ht="15.75" customHeight="1" s="70">
      <c r="B276" s="61" t="n"/>
    </row>
    <row r="277" ht="15.75" customHeight="1" s="70">
      <c r="B277" s="61" t="n"/>
    </row>
    <row r="278" ht="15.75" customHeight="1" s="70">
      <c r="B278" s="61" t="n"/>
    </row>
    <row r="279" ht="15.75" customHeight="1" s="70">
      <c r="B279" s="61" t="n"/>
    </row>
    <row r="280" ht="15.75" customHeight="1" s="70">
      <c r="B280" s="61" t="n"/>
    </row>
    <row r="281" ht="15.75" customHeight="1" s="70">
      <c r="B281" s="61" t="n"/>
    </row>
    <row r="282" ht="15.75" customHeight="1" s="70">
      <c r="B282" s="61" t="n"/>
    </row>
    <row r="283" ht="15.75" customHeight="1" s="70">
      <c r="B283" s="61" t="n"/>
    </row>
    <row r="284" ht="15.75" customHeight="1" s="70">
      <c r="B284" s="61" t="n"/>
    </row>
    <row r="285" ht="15.75" customHeight="1" s="70">
      <c r="B285" s="61" t="n"/>
    </row>
    <row r="286" ht="15.75" customHeight="1" s="70">
      <c r="B286" s="61" t="n"/>
    </row>
    <row r="287" ht="15.75" customHeight="1" s="70">
      <c r="B287" s="61" t="n"/>
    </row>
    <row r="288" ht="15.75" customHeight="1" s="70">
      <c r="B288" s="61" t="n"/>
    </row>
    <row r="289" ht="15.75" customHeight="1" s="70">
      <c r="B289" s="61" t="n"/>
    </row>
    <row r="290" ht="15.75" customHeight="1" s="70">
      <c r="B290" s="61" t="n"/>
    </row>
    <row r="291" ht="15.75" customHeight="1" s="70">
      <c r="B291" s="61" t="n"/>
    </row>
    <row r="292" ht="15.75" customHeight="1" s="70">
      <c r="B292" s="61" t="n"/>
    </row>
    <row r="293" ht="15.75" customHeight="1" s="70">
      <c r="B293" s="61" t="n"/>
    </row>
    <row r="294" ht="15.75" customHeight="1" s="70">
      <c r="B294" s="61" t="n"/>
    </row>
    <row r="295" ht="15.75" customHeight="1" s="70">
      <c r="B295" s="61" t="n"/>
    </row>
    <row r="296" ht="15.75" customHeight="1" s="70">
      <c r="B296" s="61" t="n"/>
    </row>
    <row r="297" ht="15.75" customHeight="1" s="70">
      <c r="B297" s="61" t="n"/>
    </row>
    <row r="298" ht="15.75" customHeight="1" s="70">
      <c r="B298" s="61" t="n"/>
    </row>
    <row r="299" ht="15.75" customHeight="1" s="70">
      <c r="B299" s="61" t="n"/>
    </row>
    <row r="300" ht="15.75" customHeight="1" s="70">
      <c r="B300" s="61" t="n"/>
    </row>
    <row r="301" ht="15.75" customHeight="1" s="70">
      <c r="B301" s="61" t="n"/>
    </row>
    <row r="302" ht="15.75" customHeight="1" s="70">
      <c r="B302" s="61" t="n"/>
    </row>
    <row r="303" ht="15.75" customHeight="1" s="70">
      <c r="B303" s="61" t="n"/>
    </row>
    <row r="304" ht="15.75" customHeight="1" s="70">
      <c r="B304" s="61" t="n"/>
    </row>
    <row r="305" ht="15.75" customHeight="1" s="70">
      <c r="B305" s="61" t="n"/>
    </row>
    <row r="306" ht="15.75" customHeight="1" s="70">
      <c r="B306" s="61" t="n"/>
    </row>
    <row r="307" ht="15.75" customHeight="1" s="70">
      <c r="B307" s="61" t="n"/>
    </row>
    <row r="308" ht="15.75" customHeight="1" s="70">
      <c r="B308" s="61" t="n"/>
    </row>
    <row r="309" ht="15.75" customHeight="1" s="70">
      <c r="B309" s="61" t="n"/>
    </row>
    <row r="310" ht="15.75" customHeight="1" s="70">
      <c r="B310" s="61" t="n"/>
    </row>
    <row r="311" ht="15.75" customHeight="1" s="70">
      <c r="B311" s="61" t="n"/>
    </row>
    <row r="312" ht="15.75" customHeight="1" s="70">
      <c r="B312" s="61" t="n"/>
    </row>
    <row r="313" ht="15.75" customHeight="1" s="70">
      <c r="B313" s="61" t="n"/>
    </row>
    <row r="314" ht="15.75" customHeight="1" s="70">
      <c r="B314" s="61" t="n"/>
    </row>
    <row r="315" ht="15.75" customHeight="1" s="70">
      <c r="B315" s="61" t="n"/>
    </row>
    <row r="316" ht="15.75" customHeight="1" s="70">
      <c r="B316" s="61" t="n"/>
    </row>
    <row r="317" ht="15.75" customHeight="1" s="70">
      <c r="B317" s="61" t="n"/>
    </row>
    <row r="318" ht="15.75" customHeight="1" s="70">
      <c r="B318" s="61" t="n"/>
    </row>
    <row r="319" ht="15.75" customHeight="1" s="70">
      <c r="B319" s="61" t="n"/>
    </row>
    <row r="320" ht="15.75" customHeight="1" s="70">
      <c r="B320" s="61" t="n"/>
    </row>
    <row r="321" ht="15.75" customHeight="1" s="70">
      <c r="B321" s="61" t="n"/>
    </row>
    <row r="322" ht="15.75" customHeight="1" s="70">
      <c r="B322" s="61" t="n"/>
    </row>
    <row r="323" ht="15.75" customHeight="1" s="70">
      <c r="B323" s="61" t="n"/>
    </row>
    <row r="324" ht="15.75" customHeight="1" s="70">
      <c r="B324" s="61" t="n"/>
    </row>
    <row r="325" ht="15.75" customHeight="1" s="70">
      <c r="B325" s="61" t="n"/>
    </row>
    <row r="326" ht="15.75" customHeight="1" s="70">
      <c r="B326" s="61" t="n"/>
    </row>
    <row r="327" ht="15.75" customHeight="1" s="70">
      <c r="B327" s="61" t="n"/>
    </row>
    <row r="328" ht="15.75" customHeight="1" s="70">
      <c r="B328" s="61" t="n"/>
    </row>
    <row r="329" ht="15.75" customHeight="1" s="70">
      <c r="B329" s="61" t="n"/>
    </row>
    <row r="330" ht="15.75" customHeight="1" s="70">
      <c r="B330" s="61" t="n"/>
    </row>
    <row r="331" ht="15.75" customHeight="1" s="70">
      <c r="B331" s="61" t="n"/>
    </row>
    <row r="332" ht="15.75" customHeight="1" s="70">
      <c r="B332" s="61" t="n"/>
    </row>
    <row r="333" ht="15.75" customHeight="1" s="70">
      <c r="B333" s="61" t="n"/>
    </row>
    <row r="334" ht="15.75" customHeight="1" s="70">
      <c r="B334" s="61" t="n"/>
    </row>
    <row r="335" ht="15.75" customHeight="1" s="70">
      <c r="B335" s="61" t="n"/>
    </row>
    <row r="336" ht="15.75" customHeight="1" s="70">
      <c r="B336" s="61" t="n"/>
    </row>
    <row r="337" ht="15.75" customHeight="1" s="70">
      <c r="B337" s="61" t="n"/>
    </row>
    <row r="338" ht="15.75" customHeight="1" s="70">
      <c r="B338" s="61" t="n"/>
    </row>
    <row r="339" ht="15.75" customHeight="1" s="70">
      <c r="B339" s="61" t="n"/>
    </row>
    <row r="340" ht="15.75" customHeight="1" s="70">
      <c r="B340" s="61" t="n"/>
    </row>
    <row r="341" ht="15.75" customHeight="1" s="70">
      <c r="B341" s="61" t="n"/>
    </row>
    <row r="342" ht="15.75" customHeight="1" s="70">
      <c r="B342" s="61" t="n"/>
    </row>
    <row r="343" ht="15.75" customHeight="1" s="70">
      <c r="B343" s="61" t="n"/>
    </row>
    <row r="344" ht="15.75" customHeight="1" s="70">
      <c r="B344" s="61" t="n"/>
    </row>
    <row r="345" ht="15.75" customHeight="1" s="70">
      <c r="B345" s="61" t="n"/>
    </row>
    <row r="346" ht="15.75" customHeight="1" s="70">
      <c r="B346" s="61" t="n"/>
    </row>
    <row r="347" ht="15.75" customHeight="1" s="70">
      <c r="B347" s="61" t="n"/>
    </row>
    <row r="348" ht="15.75" customHeight="1" s="70">
      <c r="B348" s="61" t="n"/>
    </row>
    <row r="349" ht="15.75" customHeight="1" s="70">
      <c r="B349" s="61" t="n"/>
    </row>
    <row r="350" ht="15.75" customHeight="1" s="70">
      <c r="B350" s="61" t="n"/>
    </row>
    <row r="351" ht="15.75" customHeight="1" s="70">
      <c r="B351" s="61" t="n"/>
    </row>
    <row r="352" ht="15.75" customHeight="1" s="70">
      <c r="B352" s="61" t="n"/>
    </row>
    <row r="353" ht="15.75" customHeight="1" s="70">
      <c r="B353" s="61" t="n"/>
    </row>
    <row r="354" ht="15.75" customHeight="1" s="70">
      <c r="B354" s="61" t="n"/>
    </row>
    <row r="355" ht="15.75" customHeight="1" s="70">
      <c r="B355" s="61" t="n"/>
    </row>
    <row r="356" ht="15.75" customHeight="1" s="70">
      <c r="B356" s="61" t="n"/>
    </row>
    <row r="357" ht="15.75" customHeight="1" s="70">
      <c r="B357" s="61" t="n"/>
    </row>
    <row r="358" ht="15.75" customHeight="1" s="70">
      <c r="B358" s="61" t="n"/>
    </row>
    <row r="359" ht="15.75" customHeight="1" s="70">
      <c r="B359" s="61" t="n"/>
    </row>
    <row r="360" ht="15.75" customHeight="1" s="70">
      <c r="B360" s="61" t="n"/>
    </row>
    <row r="361" ht="15.75" customHeight="1" s="70">
      <c r="B361" s="61" t="n"/>
    </row>
    <row r="362" ht="15.75" customHeight="1" s="70">
      <c r="B362" s="61" t="n"/>
    </row>
    <row r="363" ht="15.75" customHeight="1" s="70">
      <c r="B363" s="61" t="n"/>
    </row>
    <row r="364" ht="15.75" customHeight="1" s="70">
      <c r="B364" s="61" t="n"/>
    </row>
    <row r="365" ht="15.75" customHeight="1" s="70">
      <c r="B365" s="61" t="n"/>
    </row>
    <row r="366" ht="15.75" customHeight="1" s="70">
      <c r="B366" s="61" t="n"/>
    </row>
    <row r="367" ht="15.75" customHeight="1" s="70">
      <c r="B367" s="61" t="n"/>
    </row>
    <row r="368" ht="15.75" customHeight="1" s="70">
      <c r="B368" s="61" t="n"/>
    </row>
    <row r="369" ht="15.75" customHeight="1" s="70">
      <c r="B369" s="61" t="n"/>
    </row>
    <row r="370" ht="15.75" customHeight="1" s="70">
      <c r="B370" s="61" t="n"/>
    </row>
    <row r="371" ht="15.75" customHeight="1" s="70">
      <c r="B371" s="61" t="n"/>
    </row>
    <row r="372" ht="15.75" customHeight="1" s="70">
      <c r="B372" s="61" t="n"/>
    </row>
    <row r="373" ht="15.75" customHeight="1" s="70">
      <c r="B373" s="61" t="n"/>
    </row>
    <row r="374" ht="15.75" customHeight="1" s="70">
      <c r="B374" s="61" t="n"/>
    </row>
    <row r="375" ht="15.75" customHeight="1" s="70">
      <c r="B375" s="61" t="n"/>
    </row>
    <row r="376" ht="15.75" customHeight="1" s="70">
      <c r="B376" s="61" t="n"/>
    </row>
    <row r="377" ht="15.75" customHeight="1" s="70">
      <c r="B377" s="61" t="n"/>
    </row>
    <row r="378" ht="15.75" customHeight="1" s="70">
      <c r="B378" s="61" t="n"/>
    </row>
    <row r="379" ht="15.75" customHeight="1" s="70">
      <c r="B379" s="61" t="n"/>
    </row>
    <row r="380" ht="15.75" customHeight="1" s="70">
      <c r="B380" s="61" t="n"/>
    </row>
    <row r="381" ht="15.75" customHeight="1" s="70">
      <c r="B381" s="61" t="n"/>
    </row>
    <row r="382" ht="15.75" customHeight="1" s="70">
      <c r="B382" s="61" t="n"/>
    </row>
    <row r="383" ht="15.75" customHeight="1" s="70">
      <c r="B383" s="61" t="n"/>
    </row>
    <row r="384" ht="15.75" customHeight="1" s="70">
      <c r="B384" s="61" t="n"/>
    </row>
    <row r="385" ht="15.75" customHeight="1" s="70">
      <c r="B385" s="61" t="n"/>
    </row>
    <row r="386" ht="15.75" customHeight="1" s="70">
      <c r="B386" s="61" t="n"/>
    </row>
    <row r="387" ht="15.75" customHeight="1" s="70">
      <c r="B387" s="61" t="n"/>
    </row>
    <row r="388" ht="15.75" customHeight="1" s="70">
      <c r="B388" s="61" t="n"/>
    </row>
    <row r="389" ht="15.75" customHeight="1" s="70">
      <c r="B389" s="61" t="n"/>
    </row>
    <row r="390" ht="15.75" customHeight="1" s="70">
      <c r="B390" s="61" t="n"/>
    </row>
    <row r="391" ht="15.75" customHeight="1" s="70">
      <c r="B391" s="61" t="n"/>
    </row>
    <row r="392" ht="15.75" customHeight="1" s="70">
      <c r="B392" s="61" t="n"/>
    </row>
    <row r="393" ht="15.75" customHeight="1" s="70">
      <c r="B393" s="61" t="n"/>
    </row>
    <row r="394" ht="15.75" customHeight="1" s="70">
      <c r="B394" s="61" t="n"/>
    </row>
    <row r="395" ht="15.75" customHeight="1" s="70">
      <c r="B395" s="61" t="n"/>
    </row>
    <row r="396" ht="15.75" customHeight="1" s="70">
      <c r="B396" s="61" t="n"/>
    </row>
    <row r="397" ht="15.75" customHeight="1" s="70">
      <c r="B397" s="61" t="n"/>
    </row>
    <row r="398" ht="15.75" customHeight="1" s="70">
      <c r="B398" s="61" t="n"/>
    </row>
    <row r="399" ht="15.75" customHeight="1" s="70">
      <c r="B399" s="61" t="n"/>
    </row>
    <row r="400" ht="15.75" customHeight="1" s="70">
      <c r="B400" s="61" t="n"/>
    </row>
    <row r="401" ht="15.75" customHeight="1" s="70">
      <c r="B401" s="61" t="n"/>
    </row>
    <row r="402" ht="15.75" customHeight="1" s="70">
      <c r="B402" s="61" t="n"/>
    </row>
    <row r="403" ht="15.75" customHeight="1" s="70">
      <c r="B403" s="61" t="n"/>
    </row>
    <row r="404" ht="15.75" customHeight="1" s="70">
      <c r="B404" s="61" t="n"/>
    </row>
    <row r="405" ht="15.75" customHeight="1" s="70">
      <c r="B405" s="61" t="n"/>
    </row>
    <row r="406" ht="15.75" customHeight="1" s="70">
      <c r="B406" s="61" t="n"/>
    </row>
    <row r="407" ht="15.75" customHeight="1" s="70">
      <c r="B407" s="61" t="n"/>
    </row>
    <row r="408" ht="15.75" customHeight="1" s="70">
      <c r="B408" s="61" t="n"/>
    </row>
    <row r="409" ht="15.75" customHeight="1" s="70">
      <c r="B409" s="61" t="n"/>
    </row>
    <row r="410" ht="15.75" customHeight="1" s="70">
      <c r="B410" s="61" t="n"/>
    </row>
    <row r="411" ht="15.75" customHeight="1" s="70">
      <c r="B411" s="61" t="n"/>
    </row>
    <row r="412" ht="15.75" customHeight="1" s="70">
      <c r="B412" s="61" t="n"/>
    </row>
    <row r="413" ht="15.75" customHeight="1" s="70">
      <c r="B413" s="61" t="n"/>
    </row>
    <row r="414" ht="15.75" customHeight="1" s="70">
      <c r="B414" s="61" t="n"/>
    </row>
    <row r="415" ht="15.75" customHeight="1" s="70">
      <c r="B415" s="61" t="n"/>
    </row>
    <row r="416" ht="15.75" customHeight="1" s="70">
      <c r="B416" s="61" t="n"/>
    </row>
    <row r="417" ht="15.75" customHeight="1" s="70">
      <c r="B417" s="61" t="n"/>
    </row>
    <row r="418" ht="15.75" customHeight="1" s="70">
      <c r="B418" s="61" t="n"/>
    </row>
    <row r="419" ht="15.75" customHeight="1" s="70">
      <c r="B419" s="61" t="n"/>
    </row>
    <row r="420" ht="15.75" customHeight="1" s="70">
      <c r="B420" s="61" t="n"/>
    </row>
    <row r="421" ht="15.75" customHeight="1" s="70">
      <c r="B421" s="61" t="n"/>
    </row>
    <row r="422" ht="15.75" customHeight="1" s="70">
      <c r="B422" s="61" t="n"/>
    </row>
    <row r="423" ht="15.75" customHeight="1" s="70">
      <c r="B423" s="61" t="n"/>
    </row>
    <row r="424" ht="15.75" customHeight="1" s="70">
      <c r="B424" s="61" t="n"/>
    </row>
    <row r="425" ht="15.75" customHeight="1" s="70">
      <c r="B425" s="61" t="n"/>
    </row>
    <row r="426" ht="15.75" customHeight="1" s="70">
      <c r="B426" s="61" t="n"/>
    </row>
    <row r="427" ht="15.75" customHeight="1" s="70">
      <c r="B427" s="61" t="n"/>
    </row>
    <row r="428" ht="15.75" customHeight="1" s="70">
      <c r="B428" s="61" t="n"/>
    </row>
    <row r="429" ht="15.75" customHeight="1" s="70">
      <c r="B429" s="61" t="n"/>
    </row>
    <row r="430" ht="15.75" customHeight="1" s="70">
      <c r="B430" s="61" t="n"/>
    </row>
    <row r="431" ht="15.75" customHeight="1" s="70">
      <c r="B431" s="61" t="n"/>
    </row>
    <row r="432" ht="15.75" customHeight="1" s="70">
      <c r="B432" s="61" t="n"/>
    </row>
    <row r="433" ht="15.75" customHeight="1" s="70">
      <c r="B433" s="61" t="n"/>
    </row>
    <row r="434" ht="15.75" customHeight="1" s="70">
      <c r="B434" s="61" t="n"/>
    </row>
    <row r="435" ht="15.75" customHeight="1" s="70">
      <c r="B435" s="61" t="n"/>
    </row>
    <row r="436" ht="15.75" customHeight="1" s="70">
      <c r="B436" s="61" t="n"/>
    </row>
    <row r="437" ht="15.75" customHeight="1" s="70">
      <c r="B437" s="61" t="n"/>
    </row>
    <row r="438" ht="15.75" customHeight="1" s="70">
      <c r="B438" s="61" t="n"/>
    </row>
    <row r="439" ht="15.75" customHeight="1" s="70">
      <c r="B439" s="61" t="n"/>
    </row>
    <row r="440" ht="15.75" customHeight="1" s="70">
      <c r="B440" s="61" t="n"/>
    </row>
    <row r="441" ht="15.75" customHeight="1" s="70">
      <c r="B441" s="61" t="n"/>
    </row>
    <row r="442" ht="15.75" customHeight="1" s="70">
      <c r="B442" s="61" t="n"/>
    </row>
    <row r="443" ht="15.75" customHeight="1" s="70">
      <c r="B443" s="61" t="n"/>
    </row>
    <row r="444" ht="15.75" customHeight="1" s="70">
      <c r="B444" s="61" t="n"/>
    </row>
    <row r="445" ht="15.75" customHeight="1" s="70">
      <c r="B445" s="61" t="n"/>
    </row>
    <row r="446" ht="15.75" customHeight="1" s="70">
      <c r="B446" s="61" t="n"/>
    </row>
    <row r="447" ht="15.75" customHeight="1" s="70">
      <c r="B447" s="61" t="n"/>
    </row>
    <row r="448" ht="15.75" customHeight="1" s="70">
      <c r="B448" s="61" t="n"/>
    </row>
    <row r="449" ht="15.75" customHeight="1" s="70">
      <c r="B449" s="61" t="n"/>
    </row>
    <row r="450" ht="15.75" customHeight="1" s="70">
      <c r="B450" s="61" t="n"/>
    </row>
    <row r="451" ht="15.75" customHeight="1" s="70">
      <c r="B451" s="61" t="n"/>
    </row>
    <row r="452" ht="15.75" customHeight="1" s="70">
      <c r="B452" s="61" t="n"/>
    </row>
    <row r="453" ht="15.75" customHeight="1" s="70">
      <c r="B453" s="61" t="n"/>
    </row>
    <row r="454" ht="15.75" customHeight="1" s="70">
      <c r="B454" s="61" t="n"/>
    </row>
    <row r="455" ht="15.75" customHeight="1" s="70">
      <c r="B455" s="61" t="n"/>
    </row>
    <row r="456" ht="15.75" customHeight="1" s="70">
      <c r="B456" s="61" t="n"/>
    </row>
    <row r="457" ht="15.75" customHeight="1" s="70">
      <c r="B457" s="61" t="n"/>
    </row>
    <row r="458" ht="15.75" customHeight="1" s="70">
      <c r="B458" s="61" t="n"/>
    </row>
    <row r="459" ht="15.75" customHeight="1" s="70">
      <c r="B459" s="61" t="n"/>
    </row>
    <row r="460" ht="15.75" customHeight="1" s="70">
      <c r="B460" s="61" t="n"/>
    </row>
    <row r="461" ht="15.75" customHeight="1" s="70">
      <c r="B461" s="61" t="n"/>
    </row>
    <row r="462" ht="15.75" customHeight="1" s="70">
      <c r="B462" s="61" t="n"/>
    </row>
    <row r="463" ht="15.75" customHeight="1" s="70">
      <c r="B463" s="61" t="n"/>
    </row>
    <row r="464" ht="15.75" customHeight="1" s="70">
      <c r="B464" s="61" t="n"/>
    </row>
    <row r="465" ht="15.75" customHeight="1" s="70">
      <c r="B465" s="61" t="n"/>
    </row>
    <row r="466" ht="15.75" customHeight="1" s="70">
      <c r="B466" s="61" t="n"/>
    </row>
    <row r="467" ht="15.75" customHeight="1" s="70">
      <c r="B467" s="61" t="n"/>
    </row>
    <row r="468" ht="15.75" customHeight="1" s="70">
      <c r="B468" s="61" t="n"/>
    </row>
    <row r="469" ht="15.75" customHeight="1" s="70">
      <c r="B469" s="61" t="n"/>
    </row>
    <row r="470" ht="15.75" customHeight="1" s="70">
      <c r="B470" s="61" t="n"/>
    </row>
    <row r="471" ht="15.75" customHeight="1" s="70">
      <c r="B471" s="61" t="n"/>
    </row>
    <row r="472" ht="15.75" customHeight="1" s="70">
      <c r="B472" s="61" t="n"/>
    </row>
    <row r="473" ht="15.75" customHeight="1" s="70">
      <c r="B473" s="61" t="n"/>
    </row>
    <row r="474" ht="15.75" customHeight="1" s="70">
      <c r="B474" s="61" t="n"/>
    </row>
    <row r="475" ht="15.75" customHeight="1" s="70">
      <c r="B475" s="61" t="n"/>
    </row>
    <row r="476" ht="15.75" customHeight="1" s="70">
      <c r="B476" s="61" t="n"/>
    </row>
    <row r="477" ht="15.75" customHeight="1" s="70">
      <c r="B477" s="61" t="n"/>
    </row>
    <row r="478" ht="15.75" customHeight="1" s="70">
      <c r="B478" s="61" t="n"/>
    </row>
    <row r="479" ht="15.75" customHeight="1" s="70">
      <c r="B479" s="61" t="n"/>
    </row>
    <row r="480" ht="15.75" customHeight="1" s="70">
      <c r="B480" s="61" t="n"/>
    </row>
    <row r="481" ht="15.75" customHeight="1" s="70">
      <c r="B481" s="61" t="n"/>
    </row>
    <row r="482" ht="15.75" customHeight="1" s="70">
      <c r="B482" s="61" t="n"/>
    </row>
    <row r="483" ht="15.75" customHeight="1" s="70">
      <c r="B483" s="61" t="n"/>
    </row>
    <row r="484" ht="15.75" customHeight="1" s="70">
      <c r="B484" s="61" t="n"/>
    </row>
    <row r="485" ht="15.75" customHeight="1" s="70">
      <c r="B485" s="61" t="n"/>
    </row>
    <row r="486" ht="15.75" customHeight="1" s="70">
      <c r="B486" s="61" t="n"/>
    </row>
    <row r="487" ht="15.75" customHeight="1" s="70">
      <c r="B487" s="61" t="n"/>
    </row>
    <row r="488" ht="15.75" customHeight="1" s="70">
      <c r="B488" s="61" t="n"/>
    </row>
    <row r="489" ht="15.75" customHeight="1" s="70">
      <c r="B489" s="61" t="n"/>
    </row>
    <row r="490" ht="15.75" customHeight="1" s="70">
      <c r="B490" s="61" t="n"/>
    </row>
    <row r="491" ht="15.75" customHeight="1" s="70">
      <c r="B491" s="61" t="n"/>
    </row>
    <row r="492" ht="15.75" customHeight="1" s="70">
      <c r="B492" s="61" t="n"/>
    </row>
    <row r="493" ht="15.75" customHeight="1" s="70">
      <c r="B493" s="61" t="n"/>
    </row>
    <row r="494" ht="15.75" customHeight="1" s="70">
      <c r="B494" s="61" t="n"/>
    </row>
    <row r="495" ht="15.75" customHeight="1" s="70">
      <c r="B495" s="61" t="n"/>
    </row>
    <row r="496" ht="15.75" customHeight="1" s="70">
      <c r="B496" s="61" t="n"/>
    </row>
    <row r="497" ht="15.75" customHeight="1" s="70">
      <c r="B497" s="61" t="n"/>
    </row>
    <row r="498" ht="15.75" customHeight="1" s="70">
      <c r="B498" s="61" t="n"/>
    </row>
    <row r="499" ht="15.75" customHeight="1" s="70">
      <c r="B499" s="61" t="n"/>
    </row>
    <row r="500" ht="15.75" customHeight="1" s="70">
      <c r="B500" s="61" t="n"/>
    </row>
    <row r="501" ht="15.75" customHeight="1" s="70">
      <c r="B501" s="61" t="n"/>
    </row>
    <row r="502" ht="15.75" customHeight="1" s="70">
      <c r="B502" s="61" t="n"/>
    </row>
    <row r="503" ht="15.75" customHeight="1" s="70">
      <c r="B503" s="61" t="n"/>
    </row>
    <row r="504" ht="15.75" customHeight="1" s="70">
      <c r="B504" s="61" t="n"/>
    </row>
    <row r="505" ht="15.75" customHeight="1" s="70">
      <c r="B505" s="61" t="n"/>
    </row>
    <row r="506" ht="15.75" customHeight="1" s="70">
      <c r="B506" s="61" t="n"/>
    </row>
    <row r="507" ht="15.75" customHeight="1" s="70">
      <c r="B507" s="61" t="n"/>
    </row>
    <row r="508" ht="15.75" customHeight="1" s="70">
      <c r="B508" s="61" t="n"/>
    </row>
    <row r="509" ht="15.75" customHeight="1" s="70">
      <c r="B509" s="61" t="n"/>
    </row>
    <row r="510" ht="15.75" customHeight="1" s="70">
      <c r="B510" s="61" t="n"/>
    </row>
    <row r="511" ht="15.75" customHeight="1" s="70">
      <c r="B511" s="61" t="n"/>
    </row>
    <row r="512" ht="15.75" customHeight="1" s="70">
      <c r="B512" s="61" t="n"/>
    </row>
    <row r="513" ht="15.75" customHeight="1" s="70">
      <c r="B513" s="61" t="n"/>
    </row>
    <row r="514" ht="15.75" customHeight="1" s="70">
      <c r="B514" s="61" t="n"/>
    </row>
    <row r="515" ht="15.75" customHeight="1" s="70">
      <c r="B515" s="61" t="n"/>
    </row>
    <row r="516" ht="15.75" customHeight="1" s="70">
      <c r="B516" s="61" t="n"/>
    </row>
    <row r="517" ht="15.75" customHeight="1" s="70">
      <c r="B517" s="61" t="n"/>
    </row>
    <row r="518" ht="15.75" customHeight="1" s="70">
      <c r="B518" s="61" t="n"/>
    </row>
    <row r="519" ht="15.75" customHeight="1" s="70">
      <c r="B519" s="61" t="n"/>
    </row>
    <row r="520" ht="15.75" customHeight="1" s="70">
      <c r="B520" s="61" t="n"/>
    </row>
    <row r="521" ht="15.75" customHeight="1" s="70">
      <c r="B521" s="61" t="n"/>
    </row>
    <row r="522" ht="15.75" customHeight="1" s="70">
      <c r="B522" s="61" t="n"/>
    </row>
    <row r="523" ht="15.75" customHeight="1" s="70">
      <c r="B523" s="61" t="n"/>
    </row>
    <row r="524" ht="15.75" customHeight="1" s="70">
      <c r="B524" s="61" t="n"/>
    </row>
    <row r="525" ht="15.75" customHeight="1" s="70">
      <c r="B525" s="61" t="n"/>
    </row>
    <row r="526" ht="15.75" customHeight="1" s="70">
      <c r="B526" s="61" t="n"/>
    </row>
    <row r="527" ht="15.75" customHeight="1" s="70">
      <c r="B527" s="61" t="n"/>
    </row>
    <row r="528" ht="15.75" customHeight="1" s="70">
      <c r="B528" s="61" t="n"/>
    </row>
    <row r="529" ht="15.75" customHeight="1" s="70">
      <c r="B529" s="61" t="n"/>
    </row>
    <row r="530" ht="15.75" customHeight="1" s="70">
      <c r="B530" s="61" t="n"/>
    </row>
    <row r="531" ht="15.75" customHeight="1" s="70">
      <c r="B531" s="61" t="n"/>
    </row>
    <row r="532" ht="15.75" customHeight="1" s="70">
      <c r="B532" s="61" t="n"/>
    </row>
    <row r="533" ht="15.75" customHeight="1" s="70">
      <c r="B533" s="61" t="n"/>
    </row>
    <row r="534" ht="15.75" customHeight="1" s="70">
      <c r="B534" s="61" t="n"/>
    </row>
    <row r="535" ht="15.75" customHeight="1" s="70">
      <c r="B535" s="61" t="n"/>
    </row>
    <row r="536" ht="15.75" customHeight="1" s="70">
      <c r="B536" s="61" t="n"/>
    </row>
    <row r="537" ht="15.75" customHeight="1" s="70">
      <c r="B537" s="61" t="n"/>
    </row>
    <row r="538" ht="15.75" customHeight="1" s="70">
      <c r="B538" s="61" t="n"/>
    </row>
    <row r="539" ht="15.75" customHeight="1" s="70">
      <c r="B539" s="61" t="n"/>
    </row>
    <row r="540" ht="15.75" customHeight="1" s="70">
      <c r="B540" s="61" t="n"/>
    </row>
    <row r="541" ht="15.75" customHeight="1" s="70">
      <c r="B541" s="61" t="n"/>
    </row>
    <row r="542" ht="15.75" customHeight="1" s="70">
      <c r="B542" s="61" t="n"/>
    </row>
    <row r="543" ht="15.75" customHeight="1" s="70">
      <c r="B543" s="61" t="n"/>
    </row>
    <row r="544" ht="15.75" customHeight="1" s="70">
      <c r="B544" s="61" t="n"/>
    </row>
    <row r="545" ht="15.75" customHeight="1" s="70">
      <c r="B545" s="61" t="n"/>
    </row>
    <row r="546" ht="15.75" customHeight="1" s="70">
      <c r="B546" s="61" t="n"/>
    </row>
    <row r="547" ht="15.75" customHeight="1" s="70">
      <c r="B547" s="61" t="n"/>
    </row>
    <row r="548" ht="15.75" customHeight="1" s="70">
      <c r="B548" s="61" t="n"/>
    </row>
    <row r="549" ht="15.75" customHeight="1" s="70">
      <c r="B549" s="61" t="n"/>
    </row>
    <row r="550" ht="15.75" customHeight="1" s="70">
      <c r="B550" s="61" t="n"/>
    </row>
    <row r="551" ht="15.75" customHeight="1" s="70">
      <c r="B551" s="61" t="n"/>
    </row>
    <row r="552" ht="15.75" customHeight="1" s="70">
      <c r="B552" s="61" t="n"/>
    </row>
    <row r="553" ht="15.75" customHeight="1" s="70">
      <c r="B553" s="61" t="n"/>
    </row>
    <row r="554" ht="15.75" customHeight="1" s="70">
      <c r="B554" s="61" t="n"/>
    </row>
    <row r="555" ht="15.75" customHeight="1" s="70">
      <c r="B555" s="61" t="n"/>
    </row>
    <row r="556" ht="15.75" customHeight="1" s="70">
      <c r="B556" s="61" t="n"/>
    </row>
    <row r="557" ht="15.75" customHeight="1" s="70">
      <c r="B557" s="61" t="n"/>
    </row>
    <row r="558" ht="15.75" customHeight="1" s="70">
      <c r="B558" s="61" t="n"/>
    </row>
    <row r="559" ht="15.75" customHeight="1" s="70">
      <c r="B559" s="61" t="n"/>
    </row>
    <row r="560" ht="15.75" customHeight="1" s="70">
      <c r="B560" s="61" t="n"/>
    </row>
    <row r="561" ht="15.75" customHeight="1" s="70">
      <c r="B561" s="61" t="n"/>
    </row>
    <row r="562" ht="15.75" customHeight="1" s="70">
      <c r="B562" s="61" t="n"/>
    </row>
    <row r="563" ht="15.75" customHeight="1" s="70">
      <c r="B563" s="61" t="n"/>
    </row>
    <row r="564" ht="15.75" customHeight="1" s="70">
      <c r="B564" s="61" t="n"/>
    </row>
    <row r="565" ht="15.75" customHeight="1" s="70">
      <c r="B565" s="61" t="n"/>
    </row>
    <row r="566" ht="15.75" customHeight="1" s="70">
      <c r="B566" s="61" t="n"/>
    </row>
    <row r="567" ht="15.75" customHeight="1" s="70">
      <c r="B567" s="61" t="n"/>
    </row>
    <row r="568" ht="15.75" customHeight="1" s="70">
      <c r="B568" s="61" t="n"/>
    </row>
    <row r="569" ht="15.75" customHeight="1" s="70">
      <c r="B569" s="61" t="n"/>
    </row>
    <row r="570" ht="15.75" customHeight="1" s="70">
      <c r="B570" s="61" t="n"/>
    </row>
    <row r="571" ht="15.75" customHeight="1" s="70">
      <c r="B571" s="61" t="n"/>
    </row>
    <row r="572" ht="15.75" customHeight="1" s="70">
      <c r="B572" s="61" t="n"/>
    </row>
    <row r="573" ht="15.75" customHeight="1" s="70">
      <c r="B573" s="61" t="n"/>
    </row>
    <row r="574" ht="15.75" customHeight="1" s="70">
      <c r="B574" s="61" t="n"/>
    </row>
    <row r="575" ht="15.75" customHeight="1" s="70">
      <c r="B575" s="61" t="n"/>
    </row>
    <row r="576" ht="15.75" customHeight="1" s="70">
      <c r="B576" s="61" t="n"/>
    </row>
    <row r="577" ht="15.75" customHeight="1" s="70">
      <c r="B577" s="61" t="n"/>
    </row>
    <row r="578" ht="15.75" customHeight="1" s="70">
      <c r="B578" s="61" t="n"/>
    </row>
    <row r="579" ht="15.75" customHeight="1" s="70">
      <c r="B579" s="61" t="n"/>
    </row>
    <row r="580" ht="15.75" customHeight="1" s="70">
      <c r="B580" s="61" t="n"/>
    </row>
    <row r="581" ht="15.75" customHeight="1" s="70">
      <c r="B581" s="61" t="n"/>
    </row>
    <row r="582" ht="15.75" customHeight="1" s="70">
      <c r="B582" s="61" t="n"/>
    </row>
    <row r="583" ht="15.75" customHeight="1" s="70">
      <c r="B583" s="61" t="n"/>
    </row>
    <row r="584" ht="15.75" customHeight="1" s="70">
      <c r="B584" s="61" t="n"/>
    </row>
    <row r="585" ht="15.75" customHeight="1" s="70">
      <c r="B585" s="61" t="n"/>
    </row>
    <row r="586" ht="15.75" customHeight="1" s="70">
      <c r="B586" s="61" t="n"/>
    </row>
    <row r="587" ht="15.75" customHeight="1" s="70">
      <c r="B587" s="61" t="n"/>
    </row>
    <row r="588" ht="15.75" customHeight="1" s="70">
      <c r="B588" s="61" t="n"/>
    </row>
    <row r="589" ht="15.75" customHeight="1" s="70">
      <c r="B589" s="61" t="n"/>
    </row>
    <row r="590" ht="15.75" customHeight="1" s="70">
      <c r="B590" s="61" t="n"/>
    </row>
    <row r="591" ht="15.75" customHeight="1" s="70">
      <c r="B591" s="61" t="n"/>
    </row>
    <row r="592" ht="15.75" customHeight="1" s="70">
      <c r="B592" s="61" t="n"/>
    </row>
    <row r="593" ht="15.75" customHeight="1" s="70">
      <c r="B593" s="61" t="n"/>
    </row>
    <row r="594" ht="15.75" customHeight="1" s="70">
      <c r="B594" s="61" t="n"/>
    </row>
    <row r="595" ht="15.75" customHeight="1" s="70">
      <c r="B595" s="61" t="n"/>
    </row>
    <row r="596" ht="15.75" customHeight="1" s="70">
      <c r="B596" s="61" t="n"/>
    </row>
    <row r="597" ht="15.75" customHeight="1" s="70">
      <c r="B597" s="61" t="n"/>
    </row>
    <row r="598" ht="15.75" customHeight="1" s="70">
      <c r="B598" s="61" t="n"/>
    </row>
    <row r="599" ht="15.75" customHeight="1" s="70">
      <c r="B599" s="61" t="n"/>
    </row>
    <row r="600" ht="15.75" customHeight="1" s="70">
      <c r="B600" s="61" t="n"/>
    </row>
    <row r="601" ht="15.75" customHeight="1" s="70">
      <c r="B601" s="61" t="n"/>
    </row>
    <row r="602" ht="15.75" customHeight="1" s="70">
      <c r="B602" s="61" t="n"/>
    </row>
    <row r="603" ht="15.75" customHeight="1" s="70">
      <c r="B603" s="61" t="n"/>
    </row>
    <row r="604" ht="15.75" customHeight="1" s="70">
      <c r="B604" s="61" t="n"/>
    </row>
    <row r="605" ht="15.75" customHeight="1" s="70">
      <c r="B605" s="61" t="n"/>
    </row>
    <row r="606" ht="15.75" customHeight="1" s="70">
      <c r="B606" s="61" t="n"/>
    </row>
    <row r="607" ht="15.75" customHeight="1" s="70">
      <c r="B607" s="61" t="n"/>
    </row>
    <row r="608" ht="15.75" customHeight="1" s="70">
      <c r="B608" s="61" t="n"/>
    </row>
    <row r="609" ht="15.75" customHeight="1" s="70">
      <c r="B609" s="61" t="n"/>
    </row>
    <row r="610" ht="15.75" customHeight="1" s="70">
      <c r="B610" s="61" t="n"/>
    </row>
    <row r="611" ht="15.75" customHeight="1" s="70">
      <c r="B611" s="61" t="n"/>
    </row>
    <row r="612" ht="15.75" customHeight="1" s="70">
      <c r="B612" s="61" t="n"/>
    </row>
    <row r="613" ht="15.75" customHeight="1" s="70">
      <c r="B613" s="61" t="n"/>
    </row>
    <row r="614" ht="15.75" customHeight="1" s="70">
      <c r="B614" s="61" t="n"/>
    </row>
    <row r="615" ht="15.75" customHeight="1" s="70">
      <c r="B615" s="61" t="n"/>
    </row>
    <row r="616" ht="15.75" customHeight="1" s="70">
      <c r="B616" s="61" t="n"/>
    </row>
    <row r="617" ht="15.75" customHeight="1" s="70">
      <c r="B617" s="61" t="n"/>
    </row>
    <row r="618" ht="15.75" customHeight="1" s="70">
      <c r="B618" s="61" t="n"/>
    </row>
    <row r="619" ht="15.75" customHeight="1" s="70">
      <c r="B619" s="61" t="n"/>
    </row>
    <row r="620" ht="15.75" customHeight="1" s="70">
      <c r="B620" s="61" t="n"/>
    </row>
    <row r="621" ht="15.75" customHeight="1" s="70">
      <c r="B621" s="61" t="n"/>
    </row>
    <row r="622" ht="15.75" customHeight="1" s="70">
      <c r="B622" s="61" t="n"/>
    </row>
    <row r="623" ht="15.75" customHeight="1" s="70">
      <c r="B623" s="61" t="n"/>
    </row>
    <row r="624" ht="15.75" customHeight="1" s="70">
      <c r="B624" s="61" t="n"/>
    </row>
    <row r="625" ht="15.75" customHeight="1" s="70">
      <c r="B625" s="61" t="n"/>
    </row>
    <row r="626" ht="15.75" customHeight="1" s="70">
      <c r="B626" s="61" t="n"/>
    </row>
    <row r="627" ht="15.75" customHeight="1" s="70">
      <c r="B627" s="61" t="n"/>
    </row>
    <row r="628" ht="15.75" customHeight="1" s="70">
      <c r="B628" s="61" t="n"/>
    </row>
    <row r="629" ht="15.75" customHeight="1" s="70">
      <c r="B629" s="61" t="n"/>
    </row>
    <row r="630" ht="15.75" customHeight="1" s="70">
      <c r="B630" s="61" t="n"/>
    </row>
    <row r="631" ht="15.75" customHeight="1" s="70">
      <c r="B631" s="61" t="n"/>
    </row>
    <row r="632" ht="15.75" customHeight="1" s="70">
      <c r="B632" s="61" t="n"/>
    </row>
    <row r="633" ht="15.75" customHeight="1" s="70">
      <c r="B633" s="61" t="n"/>
    </row>
    <row r="634" ht="15.75" customHeight="1" s="70">
      <c r="B634" s="61" t="n"/>
    </row>
    <row r="635" ht="15.75" customHeight="1" s="70">
      <c r="B635" s="61" t="n"/>
    </row>
    <row r="636" ht="15.75" customHeight="1" s="70">
      <c r="B636" s="61" t="n"/>
    </row>
    <row r="637" ht="15.75" customHeight="1" s="70">
      <c r="B637" s="61" t="n"/>
    </row>
    <row r="638" ht="15.75" customHeight="1" s="70">
      <c r="B638" s="61" t="n"/>
    </row>
    <row r="639" ht="15.75" customHeight="1" s="70">
      <c r="B639" s="61" t="n"/>
    </row>
    <row r="640" ht="15.75" customHeight="1" s="70">
      <c r="B640" s="61" t="n"/>
    </row>
    <row r="641" ht="15.75" customHeight="1" s="70">
      <c r="B641" s="61" t="n"/>
    </row>
    <row r="642" ht="15.75" customHeight="1" s="70">
      <c r="B642" s="61" t="n"/>
    </row>
    <row r="643" ht="15.75" customHeight="1" s="70">
      <c r="B643" s="61" t="n"/>
    </row>
    <row r="644" ht="15.75" customHeight="1" s="70">
      <c r="B644" s="61" t="n"/>
    </row>
    <row r="645" ht="15.75" customHeight="1" s="70">
      <c r="B645" s="61" t="n"/>
    </row>
    <row r="646" ht="15.75" customHeight="1" s="70">
      <c r="B646" s="61" t="n"/>
    </row>
    <row r="647" ht="15.75" customHeight="1" s="70">
      <c r="B647" s="61" t="n"/>
    </row>
    <row r="648" ht="15.75" customHeight="1" s="70">
      <c r="B648" s="61" t="n"/>
    </row>
    <row r="649" ht="15.75" customHeight="1" s="70">
      <c r="B649" s="61" t="n"/>
    </row>
    <row r="650" ht="15.75" customHeight="1" s="70">
      <c r="B650" s="61" t="n"/>
    </row>
    <row r="651" ht="15.75" customHeight="1" s="70">
      <c r="B651" s="61" t="n"/>
    </row>
    <row r="652" ht="15.75" customHeight="1" s="70">
      <c r="B652" s="61" t="n"/>
    </row>
    <row r="653" ht="15.75" customHeight="1" s="70">
      <c r="B653" s="61" t="n"/>
    </row>
    <row r="654" ht="15.75" customHeight="1" s="70">
      <c r="B654" s="61" t="n"/>
    </row>
    <row r="655" ht="15.75" customHeight="1" s="70">
      <c r="B655" s="61" t="n"/>
    </row>
    <row r="656" ht="15.75" customHeight="1" s="70">
      <c r="B656" s="61" t="n"/>
    </row>
    <row r="657" ht="15.75" customHeight="1" s="70">
      <c r="B657" s="61" t="n"/>
    </row>
    <row r="658" ht="15.75" customHeight="1" s="70">
      <c r="B658" s="61" t="n"/>
    </row>
    <row r="659" ht="15.75" customHeight="1" s="70">
      <c r="B659" s="61" t="n"/>
    </row>
    <row r="660" ht="15.75" customHeight="1" s="70">
      <c r="B660" s="61" t="n"/>
    </row>
    <row r="661" ht="15.75" customHeight="1" s="70">
      <c r="B661" s="61" t="n"/>
    </row>
    <row r="662" ht="15.75" customHeight="1" s="70">
      <c r="B662" s="61" t="n"/>
    </row>
    <row r="663" ht="15.75" customHeight="1" s="70">
      <c r="B663" s="61" t="n"/>
    </row>
    <row r="664" ht="15.75" customHeight="1" s="70">
      <c r="B664" s="61" t="n"/>
    </row>
    <row r="665" ht="15.75" customHeight="1" s="70">
      <c r="B665" s="61" t="n"/>
    </row>
    <row r="666" ht="15.75" customHeight="1" s="70">
      <c r="B666" s="61" t="n"/>
    </row>
    <row r="667" ht="15.75" customHeight="1" s="70">
      <c r="B667" s="61" t="n"/>
    </row>
    <row r="668" ht="15.75" customHeight="1" s="70">
      <c r="B668" s="61" t="n"/>
    </row>
    <row r="669" ht="15.75" customHeight="1" s="70">
      <c r="B669" s="61" t="n"/>
    </row>
    <row r="670" ht="15.75" customHeight="1" s="70">
      <c r="B670" s="61" t="n"/>
    </row>
    <row r="671" ht="15.75" customHeight="1" s="70">
      <c r="B671" s="61" t="n"/>
    </row>
    <row r="672" ht="15.75" customHeight="1" s="70">
      <c r="B672" s="61" t="n"/>
    </row>
    <row r="673" ht="15.75" customHeight="1" s="70">
      <c r="B673" s="61" t="n"/>
    </row>
    <row r="674" ht="15.75" customHeight="1" s="70">
      <c r="B674" s="61" t="n"/>
    </row>
    <row r="675" ht="15.75" customHeight="1" s="70">
      <c r="B675" s="61" t="n"/>
    </row>
    <row r="676" ht="15.75" customHeight="1" s="70">
      <c r="B676" s="61" t="n"/>
    </row>
    <row r="677" ht="15.75" customHeight="1" s="70">
      <c r="B677" s="61" t="n"/>
    </row>
    <row r="678" ht="15.75" customHeight="1" s="70">
      <c r="B678" s="61" t="n"/>
    </row>
    <row r="679" ht="15.75" customHeight="1" s="70">
      <c r="B679" s="61" t="n"/>
    </row>
    <row r="680" ht="15.75" customHeight="1" s="70">
      <c r="B680" s="61" t="n"/>
    </row>
    <row r="681" ht="15.75" customHeight="1" s="70">
      <c r="B681" s="61" t="n"/>
    </row>
    <row r="682" ht="15.75" customHeight="1" s="70">
      <c r="B682" s="61" t="n"/>
    </row>
    <row r="683" ht="15.75" customHeight="1" s="70">
      <c r="B683" s="61" t="n"/>
    </row>
    <row r="684" ht="15.75" customHeight="1" s="70">
      <c r="B684" s="61" t="n"/>
    </row>
    <row r="685" ht="15.75" customHeight="1" s="70">
      <c r="B685" s="61" t="n"/>
    </row>
    <row r="686" ht="15.75" customHeight="1" s="70">
      <c r="B686" s="61" t="n"/>
    </row>
    <row r="687" ht="15.75" customHeight="1" s="70">
      <c r="B687" s="61" t="n"/>
    </row>
    <row r="688" ht="15.75" customHeight="1" s="70">
      <c r="B688" s="61" t="n"/>
    </row>
    <row r="689" ht="15.75" customHeight="1" s="70">
      <c r="B689" s="61" t="n"/>
    </row>
    <row r="690" ht="15.75" customHeight="1" s="70">
      <c r="B690" s="61" t="n"/>
    </row>
    <row r="691" ht="15.75" customHeight="1" s="70">
      <c r="B691" s="61" t="n"/>
    </row>
    <row r="692" ht="15.75" customHeight="1" s="70">
      <c r="B692" s="61" t="n"/>
    </row>
    <row r="693" ht="15.75" customHeight="1" s="70">
      <c r="B693" s="61" t="n"/>
    </row>
    <row r="694" ht="15.75" customHeight="1" s="70">
      <c r="B694" s="61" t="n"/>
    </row>
    <row r="695" ht="15.75" customHeight="1" s="70">
      <c r="B695" s="61" t="n"/>
    </row>
    <row r="696" ht="15.75" customHeight="1" s="70">
      <c r="B696" s="61" t="n"/>
    </row>
    <row r="697" ht="15.75" customHeight="1" s="70">
      <c r="B697" s="61" t="n"/>
    </row>
    <row r="698" ht="15.75" customHeight="1" s="70">
      <c r="B698" s="61" t="n"/>
    </row>
    <row r="699" ht="15.75" customHeight="1" s="70">
      <c r="B699" s="61" t="n"/>
    </row>
    <row r="700" ht="15.75" customHeight="1" s="70">
      <c r="B700" s="61" t="n"/>
    </row>
    <row r="701" ht="15.75" customHeight="1" s="70">
      <c r="B701" s="61" t="n"/>
    </row>
    <row r="702" ht="15.75" customHeight="1" s="70">
      <c r="B702" s="61" t="n"/>
    </row>
    <row r="703" ht="15.75" customHeight="1" s="70">
      <c r="B703" s="61" t="n"/>
    </row>
    <row r="704" ht="15.75" customHeight="1" s="70">
      <c r="B704" s="61" t="n"/>
    </row>
    <row r="705" ht="15.75" customHeight="1" s="70">
      <c r="B705" s="61" t="n"/>
    </row>
    <row r="706" ht="15.75" customHeight="1" s="70">
      <c r="B706" s="61" t="n"/>
    </row>
    <row r="707" ht="15.75" customHeight="1" s="70">
      <c r="B707" s="61" t="n"/>
    </row>
    <row r="708" ht="15.75" customHeight="1" s="70">
      <c r="B708" s="61" t="n"/>
    </row>
    <row r="709" ht="15.75" customHeight="1" s="70">
      <c r="B709" s="61" t="n"/>
    </row>
    <row r="710" ht="15.75" customHeight="1" s="70">
      <c r="B710" s="61" t="n"/>
    </row>
    <row r="711" ht="15.75" customHeight="1" s="70">
      <c r="B711" s="61" t="n"/>
    </row>
    <row r="712" ht="15.75" customHeight="1" s="70">
      <c r="B712" s="61" t="n"/>
    </row>
    <row r="713" ht="15.75" customHeight="1" s="70">
      <c r="B713" s="61" t="n"/>
    </row>
    <row r="714" ht="15.75" customHeight="1" s="70">
      <c r="B714" s="61" t="n"/>
    </row>
    <row r="715" ht="15.75" customHeight="1" s="70">
      <c r="B715" s="61" t="n"/>
    </row>
    <row r="716" ht="15.75" customHeight="1" s="70">
      <c r="B716" s="61" t="n"/>
    </row>
    <row r="717" ht="15.75" customHeight="1" s="70">
      <c r="B717" s="61" t="n"/>
    </row>
    <row r="718" ht="15.75" customHeight="1" s="70">
      <c r="B718" s="61" t="n"/>
    </row>
    <row r="719" ht="15.75" customHeight="1" s="70">
      <c r="B719" s="61" t="n"/>
    </row>
    <row r="720" ht="15.75" customHeight="1" s="70">
      <c r="B720" s="61" t="n"/>
    </row>
    <row r="721" ht="15.75" customHeight="1" s="70">
      <c r="B721" s="61" t="n"/>
    </row>
    <row r="722" ht="15.75" customHeight="1" s="70">
      <c r="B722" s="61" t="n"/>
    </row>
    <row r="723" ht="15.75" customHeight="1" s="70">
      <c r="B723" s="61" t="n"/>
    </row>
    <row r="724" ht="15.75" customHeight="1" s="70">
      <c r="B724" s="61" t="n"/>
    </row>
    <row r="725" ht="15.75" customHeight="1" s="70">
      <c r="B725" s="61" t="n"/>
    </row>
    <row r="726" ht="15.75" customHeight="1" s="70">
      <c r="B726" s="61" t="n"/>
    </row>
    <row r="727" ht="15.75" customHeight="1" s="70">
      <c r="B727" s="61" t="n"/>
    </row>
    <row r="728" ht="15.75" customHeight="1" s="70">
      <c r="B728" s="61" t="n"/>
    </row>
    <row r="729" ht="15.75" customHeight="1" s="70">
      <c r="B729" s="61" t="n"/>
    </row>
    <row r="730" ht="15.75" customHeight="1" s="70">
      <c r="B730" s="61" t="n"/>
    </row>
    <row r="731" ht="15.75" customHeight="1" s="70">
      <c r="B731" s="61" t="n"/>
    </row>
    <row r="732" ht="15.75" customHeight="1" s="70">
      <c r="B732" s="61" t="n"/>
    </row>
    <row r="733" ht="15.75" customHeight="1" s="70">
      <c r="B733" s="61" t="n"/>
    </row>
    <row r="734" ht="15.75" customHeight="1" s="70">
      <c r="B734" s="61" t="n"/>
    </row>
    <row r="735" ht="15.75" customHeight="1" s="70">
      <c r="B735" s="61" t="n"/>
    </row>
    <row r="736" ht="15.75" customHeight="1" s="70">
      <c r="B736" s="61" t="n"/>
    </row>
    <row r="737" ht="15.75" customHeight="1" s="70">
      <c r="B737" s="61" t="n"/>
    </row>
    <row r="738" ht="15.75" customHeight="1" s="70">
      <c r="B738" s="61" t="n"/>
    </row>
    <row r="739" ht="15.75" customHeight="1" s="70">
      <c r="B739" s="61" t="n"/>
    </row>
    <row r="740" ht="15.75" customHeight="1" s="70">
      <c r="B740" s="61" t="n"/>
    </row>
    <row r="741" ht="15.75" customHeight="1" s="70">
      <c r="B741" s="61" t="n"/>
    </row>
    <row r="742" ht="15.75" customHeight="1" s="70">
      <c r="B742" s="61" t="n"/>
    </row>
    <row r="743" ht="15.75" customHeight="1" s="70">
      <c r="B743" s="61" t="n"/>
    </row>
    <row r="744" ht="15.75" customHeight="1" s="70">
      <c r="B744" s="61" t="n"/>
    </row>
    <row r="745" ht="15.75" customHeight="1" s="70">
      <c r="B745" s="61" t="n"/>
    </row>
    <row r="746" ht="15.75" customHeight="1" s="70">
      <c r="B746" s="61" t="n"/>
    </row>
    <row r="747" ht="15.75" customHeight="1" s="70">
      <c r="B747" s="61" t="n"/>
    </row>
    <row r="748" ht="15.75" customHeight="1" s="70">
      <c r="B748" s="61" t="n"/>
    </row>
    <row r="749" ht="15.75" customHeight="1" s="70">
      <c r="B749" s="61" t="n"/>
    </row>
    <row r="750" ht="15.75" customHeight="1" s="70">
      <c r="B750" s="61" t="n"/>
    </row>
    <row r="751" ht="15.75" customHeight="1" s="70">
      <c r="B751" s="61" t="n"/>
    </row>
    <row r="752" ht="15.75" customHeight="1" s="70">
      <c r="B752" s="61" t="n"/>
    </row>
    <row r="753" ht="15.75" customHeight="1" s="70">
      <c r="B753" s="61" t="n"/>
    </row>
    <row r="754" ht="15.75" customHeight="1" s="70">
      <c r="B754" s="61" t="n"/>
    </row>
    <row r="755" ht="15.75" customHeight="1" s="70">
      <c r="B755" s="61" t="n"/>
    </row>
    <row r="756" ht="15.75" customHeight="1" s="70">
      <c r="B756" s="61" t="n"/>
    </row>
    <row r="757" ht="15.75" customHeight="1" s="70">
      <c r="B757" s="61" t="n"/>
    </row>
    <row r="758" ht="15.75" customHeight="1" s="70">
      <c r="B758" s="61" t="n"/>
    </row>
    <row r="759" ht="15.75" customHeight="1" s="70">
      <c r="B759" s="61" t="n"/>
    </row>
    <row r="760" ht="15.75" customHeight="1" s="70">
      <c r="B760" s="61" t="n"/>
    </row>
    <row r="761" ht="15.75" customHeight="1" s="70">
      <c r="B761" s="61" t="n"/>
    </row>
    <row r="762" ht="15.75" customHeight="1" s="70">
      <c r="B762" s="61" t="n"/>
    </row>
    <row r="763" ht="15.75" customHeight="1" s="70">
      <c r="B763" s="61" t="n"/>
    </row>
    <row r="764" ht="15.75" customHeight="1" s="70">
      <c r="B764" s="61" t="n"/>
    </row>
    <row r="765" ht="15.75" customHeight="1" s="70">
      <c r="B765" s="61" t="n"/>
    </row>
    <row r="766" ht="15.75" customHeight="1" s="70">
      <c r="B766" s="61" t="n"/>
    </row>
    <row r="767" ht="15.75" customHeight="1" s="70">
      <c r="B767" s="61" t="n"/>
    </row>
    <row r="768" ht="15.75" customHeight="1" s="70">
      <c r="B768" s="61" t="n"/>
    </row>
    <row r="769" ht="15.75" customHeight="1" s="70">
      <c r="B769" s="61" t="n"/>
    </row>
    <row r="770" ht="15.75" customHeight="1" s="70">
      <c r="B770" s="61" t="n"/>
    </row>
    <row r="771" ht="15.75" customHeight="1" s="70">
      <c r="B771" s="61" t="n"/>
    </row>
    <row r="772" ht="15.75" customHeight="1" s="70">
      <c r="B772" s="61" t="n"/>
    </row>
    <row r="773" ht="15.75" customHeight="1" s="70">
      <c r="B773" s="61" t="n"/>
    </row>
    <row r="774" ht="15.75" customHeight="1" s="70">
      <c r="B774" s="61" t="n"/>
    </row>
    <row r="775" ht="15.75" customHeight="1" s="70">
      <c r="B775" s="61" t="n"/>
    </row>
    <row r="776" ht="15.75" customHeight="1" s="70">
      <c r="B776" s="61" t="n"/>
    </row>
    <row r="777" ht="15.75" customHeight="1" s="70">
      <c r="B777" s="61" t="n"/>
    </row>
    <row r="778" ht="15.75" customHeight="1" s="70">
      <c r="B778" s="61" t="n"/>
    </row>
    <row r="779" ht="15.75" customHeight="1" s="70">
      <c r="B779" s="61" t="n"/>
    </row>
    <row r="780" ht="15.75" customHeight="1" s="70">
      <c r="B780" s="61" t="n"/>
    </row>
    <row r="781" ht="15.75" customHeight="1" s="70">
      <c r="B781" s="61" t="n"/>
    </row>
    <row r="782" ht="15.75" customHeight="1" s="70">
      <c r="B782" s="61" t="n"/>
    </row>
    <row r="783" ht="15.75" customHeight="1" s="70">
      <c r="B783" s="61" t="n"/>
    </row>
    <row r="784" ht="15.75" customHeight="1" s="70">
      <c r="B784" s="61" t="n"/>
    </row>
    <row r="785" ht="15.75" customHeight="1" s="70">
      <c r="B785" s="61" t="n"/>
    </row>
    <row r="786" ht="15.75" customHeight="1" s="70">
      <c r="B786" s="61" t="n"/>
    </row>
    <row r="787" ht="15.75" customHeight="1" s="70">
      <c r="B787" s="61" t="n"/>
    </row>
    <row r="788" ht="15.75" customHeight="1" s="70">
      <c r="B788" s="61" t="n"/>
    </row>
    <row r="789" ht="15.75" customHeight="1" s="70">
      <c r="B789" s="61" t="n"/>
    </row>
    <row r="790" ht="15.75" customHeight="1" s="70">
      <c r="B790" s="61" t="n"/>
    </row>
    <row r="791" ht="15.75" customHeight="1" s="70">
      <c r="B791" s="61" t="n"/>
    </row>
    <row r="792" ht="15.75" customHeight="1" s="70">
      <c r="B792" s="61" t="n"/>
    </row>
    <row r="793" ht="15.75" customHeight="1" s="70">
      <c r="B793" s="61" t="n"/>
    </row>
    <row r="794" ht="15.75" customHeight="1" s="70">
      <c r="B794" s="61" t="n"/>
    </row>
    <row r="795" ht="15.75" customHeight="1" s="70">
      <c r="B795" s="61" t="n"/>
    </row>
    <row r="796" ht="15.75" customHeight="1" s="70">
      <c r="B796" s="61" t="n"/>
    </row>
    <row r="797" ht="15.75" customHeight="1" s="70">
      <c r="B797" s="61" t="n"/>
    </row>
    <row r="798" ht="15.75" customHeight="1" s="70">
      <c r="B798" s="61" t="n"/>
    </row>
    <row r="799" ht="15.75" customHeight="1" s="70">
      <c r="B799" s="61" t="n"/>
    </row>
    <row r="800" ht="15.75" customHeight="1" s="70">
      <c r="B800" s="61" t="n"/>
    </row>
    <row r="801" ht="15.75" customHeight="1" s="70">
      <c r="B801" s="61" t="n"/>
    </row>
    <row r="802" ht="15.75" customHeight="1" s="70">
      <c r="B802" s="61" t="n"/>
    </row>
    <row r="803" ht="15.75" customHeight="1" s="70">
      <c r="B803" s="61" t="n"/>
    </row>
    <row r="804" ht="15.75" customHeight="1" s="70">
      <c r="B804" s="61" t="n"/>
    </row>
    <row r="805" ht="15.75" customHeight="1" s="70">
      <c r="B805" s="61" t="n"/>
    </row>
    <row r="806" ht="15.75" customHeight="1" s="70">
      <c r="B806" s="61" t="n"/>
    </row>
    <row r="807" ht="15.75" customHeight="1" s="70">
      <c r="B807" s="61" t="n"/>
    </row>
    <row r="808" ht="15.75" customHeight="1" s="70">
      <c r="B808" s="61" t="n"/>
    </row>
    <row r="809" ht="15.75" customHeight="1" s="70">
      <c r="B809" s="61" t="n"/>
    </row>
    <row r="810" ht="15.75" customHeight="1" s="70">
      <c r="B810" s="61" t="n"/>
    </row>
    <row r="811" ht="15.75" customHeight="1" s="70">
      <c r="B811" s="61" t="n"/>
    </row>
    <row r="812" ht="15.75" customHeight="1" s="70">
      <c r="B812" s="61" t="n"/>
    </row>
    <row r="813" ht="15.75" customHeight="1" s="70">
      <c r="B813" s="61" t="n"/>
    </row>
    <row r="814" ht="15.75" customHeight="1" s="70">
      <c r="B814" s="61" t="n"/>
    </row>
    <row r="815" ht="15.75" customHeight="1" s="70">
      <c r="B815" s="61" t="n"/>
    </row>
    <row r="816" ht="15.75" customHeight="1" s="70">
      <c r="B816" s="61" t="n"/>
    </row>
    <row r="817" ht="15.75" customHeight="1" s="70">
      <c r="B817" s="61" t="n"/>
    </row>
    <row r="818" ht="15.75" customHeight="1" s="70">
      <c r="B818" s="61" t="n"/>
    </row>
    <row r="819" ht="15.75" customHeight="1" s="70">
      <c r="B819" s="61" t="n"/>
    </row>
    <row r="820" ht="15.75" customHeight="1" s="70">
      <c r="B820" s="61" t="n"/>
    </row>
    <row r="821" ht="15.75" customHeight="1" s="70">
      <c r="B821" s="61" t="n"/>
    </row>
    <row r="822" ht="15.75" customHeight="1" s="70">
      <c r="B822" s="61" t="n"/>
    </row>
    <row r="823" ht="15.75" customHeight="1" s="70">
      <c r="B823" s="61" t="n"/>
    </row>
    <row r="824" ht="15.75" customHeight="1" s="70">
      <c r="B824" s="61" t="n"/>
    </row>
    <row r="825" ht="15.75" customHeight="1" s="70">
      <c r="B825" s="61" t="n"/>
    </row>
    <row r="826" ht="15.75" customHeight="1" s="70">
      <c r="B826" s="61" t="n"/>
    </row>
    <row r="827" ht="15.75" customHeight="1" s="70">
      <c r="B827" s="61" t="n"/>
    </row>
    <row r="828" ht="15.75" customHeight="1" s="70">
      <c r="B828" s="61" t="n"/>
    </row>
    <row r="829" ht="15.75" customHeight="1" s="70">
      <c r="B829" s="61" t="n"/>
    </row>
    <row r="830" ht="15.75" customHeight="1" s="70">
      <c r="B830" s="61" t="n"/>
    </row>
    <row r="831" ht="15.75" customHeight="1" s="70">
      <c r="B831" s="61" t="n"/>
    </row>
    <row r="832" ht="15.75" customHeight="1" s="70">
      <c r="B832" s="61" t="n"/>
    </row>
    <row r="833" ht="15.75" customHeight="1" s="70">
      <c r="B833" s="61" t="n"/>
    </row>
    <row r="834" ht="15.75" customHeight="1" s="70">
      <c r="B834" s="61" t="n"/>
    </row>
    <row r="835" ht="15.75" customHeight="1" s="70">
      <c r="B835" s="61" t="n"/>
    </row>
    <row r="836" ht="15.75" customHeight="1" s="70">
      <c r="B836" s="61" t="n"/>
    </row>
    <row r="837" ht="15.75" customHeight="1" s="70">
      <c r="B837" s="61" t="n"/>
    </row>
    <row r="838" ht="15.75" customHeight="1" s="70">
      <c r="B838" s="61" t="n"/>
    </row>
    <row r="839" ht="15.75" customHeight="1" s="70">
      <c r="B839" s="61" t="n"/>
    </row>
    <row r="840" ht="15.75" customHeight="1" s="70">
      <c r="B840" s="61" t="n"/>
    </row>
    <row r="841" ht="15.75" customHeight="1" s="70">
      <c r="B841" s="61" t="n"/>
    </row>
    <row r="842" ht="15.75" customHeight="1" s="70">
      <c r="B842" s="61" t="n"/>
    </row>
    <row r="843" ht="15.75" customHeight="1" s="70">
      <c r="B843" s="61" t="n"/>
    </row>
    <row r="844" ht="15.75" customHeight="1" s="70">
      <c r="B844" s="61" t="n"/>
    </row>
    <row r="845" ht="15.75" customHeight="1" s="70">
      <c r="B845" s="61" t="n"/>
    </row>
    <row r="846" ht="15.75" customHeight="1" s="70">
      <c r="B846" s="61" t="n"/>
    </row>
    <row r="847" ht="15.75" customHeight="1" s="70">
      <c r="B847" s="61" t="n"/>
    </row>
    <row r="848" ht="15.75" customHeight="1" s="70">
      <c r="B848" s="61" t="n"/>
    </row>
    <row r="849" ht="15.75" customHeight="1" s="70">
      <c r="B849" s="61" t="n"/>
    </row>
    <row r="850" ht="15.75" customHeight="1" s="70">
      <c r="B850" s="61" t="n"/>
    </row>
    <row r="851" ht="15.75" customHeight="1" s="70">
      <c r="B851" s="61" t="n"/>
    </row>
    <row r="852" ht="15.75" customHeight="1" s="70">
      <c r="B852" s="61" t="n"/>
    </row>
    <row r="853" ht="15.75" customHeight="1" s="70">
      <c r="B853" s="61" t="n"/>
    </row>
    <row r="854" ht="15.75" customHeight="1" s="70">
      <c r="B854" s="61" t="n"/>
    </row>
    <row r="855" ht="15.75" customHeight="1" s="70">
      <c r="B855" s="61" t="n"/>
    </row>
    <row r="856" ht="15.75" customHeight="1" s="70">
      <c r="B856" s="61" t="n"/>
    </row>
    <row r="857" ht="15.75" customHeight="1" s="70">
      <c r="B857" s="61" t="n"/>
    </row>
    <row r="858" ht="15.75" customHeight="1" s="70">
      <c r="B858" s="61" t="n"/>
    </row>
    <row r="859" ht="15.75" customHeight="1" s="70">
      <c r="B859" s="61" t="n"/>
    </row>
    <row r="860" ht="15.75" customHeight="1" s="70">
      <c r="B860" s="61" t="n"/>
    </row>
    <row r="861" ht="15.75" customHeight="1" s="70">
      <c r="B861" s="61" t="n"/>
    </row>
    <row r="862" ht="15.75" customHeight="1" s="70">
      <c r="B862" s="61" t="n"/>
    </row>
    <row r="863" ht="15.75" customHeight="1" s="70">
      <c r="B863" s="61" t="n"/>
    </row>
    <row r="864" ht="15.75" customHeight="1" s="70">
      <c r="B864" s="61" t="n"/>
    </row>
    <row r="865" ht="15.75" customHeight="1" s="70">
      <c r="B865" s="61" t="n"/>
    </row>
    <row r="866" ht="15.75" customHeight="1" s="70">
      <c r="B866" s="61" t="n"/>
    </row>
    <row r="867" ht="15.75" customHeight="1" s="70">
      <c r="B867" s="61" t="n"/>
    </row>
    <row r="868" ht="15.75" customHeight="1" s="70">
      <c r="B868" s="61" t="n"/>
    </row>
    <row r="869" ht="15.75" customHeight="1" s="70">
      <c r="B869" s="61" t="n"/>
    </row>
    <row r="870" ht="15.75" customHeight="1" s="70">
      <c r="B870" s="61" t="n"/>
    </row>
    <row r="871" ht="15.75" customHeight="1" s="70">
      <c r="B871" s="61" t="n"/>
    </row>
    <row r="872" ht="15.75" customHeight="1" s="70">
      <c r="B872" s="61" t="n"/>
    </row>
    <row r="873" ht="15.75" customHeight="1" s="70">
      <c r="B873" s="61" t="n"/>
    </row>
    <row r="874" ht="15.75" customHeight="1" s="70">
      <c r="B874" s="61" t="n"/>
    </row>
    <row r="875" ht="15.75" customHeight="1" s="70">
      <c r="B875" s="61" t="n"/>
    </row>
    <row r="876" ht="15.75" customHeight="1" s="70">
      <c r="B876" s="61" t="n"/>
    </row>
    <row r="877" ht="15.75" customHeight="1" s="70">
      <c r="B877" s="61" t="n"/>
    </row>
    <row r="878" ht="15.75" customHeight="1" s="70">
      <c r="B878" s="61" t="n"/>
    </row>
    <row r="879" ht="15.75" customHeight="1" s="70">
      <c r="B879" s="61" t="n"/>
    </row>
    <row r="880" ht="15.75" customHeight="1" s="70">
      <c r="B880" s="61" t="n"/>
    </row>
    <row r="881" ht="15.75" customHeight="1" s="70">
      <c r="B881" s="61" t="n"/>
    </row>
    <row r="882" ht="15.75" customHeight="1" s="70">
      <c r="B882" s="61" t="n"/>
    </row>
    <row r="883" ht="15.75" customHeight="1" s="70">
      <c r="B883" s="61" t="n"/>
    </row>
    <row r="884" ht="15.75" customHeight="1" s="70">
      <c r="B884" s="61" t="n"/>
    </row>
    <row r="885" ht="15.75" customHeight="1" s="70">
      <c r="B885" s="61" t="n"/>
    </row>
    <row r="886" ht="15.75" customHeight="1" s="70">
      <c r="B886" s="61" t="n"/>
    </row>
    <row r="887" ht="15.75" customHeight="1" s="70">
      <c r="B887" s="61" t="n"/>
    </row>
    <row r="888" ht="15.75" customHeight="1" s="70">
      <c r="B888" s="61" t="n"/>
    </row>
    <row r="889" ht="15.75" customHeight="1" s="70">
      <c r="B889" s="61" t="n"/>
    </row>
    <row r="890" ht="15.75" customHeight="1" s="70">
      <c r="B890" s="61" t="n"/>
    </row>
    <row r="891" ht="15.75" customHeight="1" s="70">
      <c r="B891" s="61" t="n"/>
    </row>
    <row r="892" ht="15.75" customHeight="1" s="70">
      <c r="B892" s="61" t="n"/>
    </row>
    <row r="893" ht="15.75" customHeight="1" s="70">
      <c r="B893" s="61" t="n"/>
    </row>
    <row r="894" ht="15.75" customHeight="1" s="70">
      <c r="B894" s="61" t="n"/>
    </row>
    <row r="895" ht="15.75" customHeight="1" s="70">
      <c r="B895" s="61" t="n"/>
    </row>
    <row r="896" ht="15.75" customHeight="1" s="70">
      <c r="B896" s="61" t="n"/>
    </row>
    <row r="897" ht="15.75" customHeight="1" s="70">
      <c r="B897" s="61" t="n"/>
    </row>
    <row r="898" ht="15.75" customHeight="1" s="70">
      <c r="B898" s="61" t="n"/>
    </row>
    <row r="899" ht="15.75" customHeight="1" s="70">
      <c r="B899" s="61" t="n"/>
    </row>
    <row r="900" ht="15.75" customHeight="1" s="70">
      <c r="B900" s="61" t="n"/>
    </row>
    <row r="901" ht="15.75" customHeight="1" s="70">
      <c r="B901" s="61" t="n"/>
    </row>
    <row r="902" ht="15.75" customHeight="1" s="70">
      <c r="B902" s="61" t="n"/>
    </row>
    <row r="903" ht="15.75" customHeight="1" s="70">
      <c r="B903" s="61" t="n"/>
    </row>
    <row r="904" ht="15.75" customHeight="1" s="70">
      <c r="B904" s="61" t="n"/>
    </row>
    <row r="905" ht="15.75" customHeight="1" s="70">
      <c r="B905" s="61" t="n"/>
    </row>
    <row r="906" ht="15.75" customHeight="1" s="70">
      <c r="B906" s="61" t="n"/>
    </row>
    <row r="907" ht="15.75" customHeight="1" s="70">
      <c r="B907" s="61" t="n"/>
    </row>
    <row r="908" ht="15.75" customHeight="1" s="70">
      <c r="B908" s="61" t="n"/>
    </row>
    <row r="909" ht="15.75" customHeight="1" s="70">
      <c r="B909" s="61" t="n"/>
    </row>
    <row r="910" ht="15.75" customHeight="1" s="70">
      <c r="B910" s="61" t="n"/>
    </row>
    <row r="911" ht="15.75" customHeight="1" s="70">
      <c r="B911" s="61" t="n"/>
    </row>
    <row r="912" ht="15.75" customHeight="1" s="70">
      <c r="B912" s="61" t="n"/>
    </row>
    <row r="913" ht="15.75" customHeight="1" s="70">
      <c r="B913" s="61" t="n"/>
    </row>
    <row r="914" ht="15.75" customHeight="1" s="70">
      <c r="B914" s="61" t="n"/>
    </row>
    <row r="915" ht="15.75" customHeight="1" s="70">
      <c r="B915" s="61" t="n"/>
    </row>
    <row r="916" ht="15.75" customHeight="1" s="70">
      <c r="B916" s="61" t="n"/>
    </row>
    <row r="917" ht="15.75" customHeight="1" s="70">
      <c r="B917" s="61" t="n"/>
    </row>
    <row r="918" ht="15.75" customHeight="1" s="70">
      <c r="B918" s="61" t="n"/>
    </row>
    <row r="919" ht="15.75" customHeight="1" s="70">
      <c r="B919" s="61" t="n"/>
    </row>
    <row r="920" ht="15.75" customHeight="1" s="70">
      <c r="B920" s="61" t="n"/>
    </row>
    <row r="921" ht="15.75" customHeight="1" s="70">
      <c r="B921" s="61" t="n"/>
    </row>
    <row r="922" ht="15.75" customHeight="1" s="70">
      <c r="B922" s="61" t="n"/>
    </row>
    <row r="923" ht="15.75" customHeight="1" s="70">
      <c r="B923" s="61" t="n"/>
    </row>
    <row r="924" ht="15.75" customHeight="1" s="70">
      <c r="B924" s="61" t="n"/>
    </row>
    <row r="925" ht="15.75" customHeight="1" s="70">
      <c r="B925" s="61" t="n"/>
    </row>
    <row r="926" ht="15.75" customHeight="1" s="70">
      <c r="B926" s="61" t="n"/>
    </row>
    <row r="927" ht="15.75" customHeight="1" s="70">
      <c r="B927" s="61" t="n"/>
    </row>
    <row r="928" ht="15.75" customHeight="1" s="70">
      <c r="B928" s="61" t="n"/>
    </row>
    <row r="929" ht="15.75" customHeight="1" s="70">
      <c r="B929" s="61" t="n"/>
    </row>
    <row r="930" ht="15.75" customHeight="1" s="70">
      <c r="B930" s="61" t="n"/>
    </row>
    <row r="931" ht="15.75" customHeight="1" s="70">
      <c r="B931" s="61" t="n"/>
    </row>
    <row r="932" ht="15.75" customHeight="1" s="70">
      <c r="B932" s="61" t="n"/>
    </row>
    <row r="933" ht="15.75" customHeight="1" s="70">
      <c r="B933" s="61" t="n"/>
    </row>
    <row r="934" ht="15.75" customHeight="1" s="70">
      <c r="B934" s="61" t="n"/>
    </row>
    <row r="935" ht="15.75" customHeight="1" s="70">
      <c r="B935" s="61" t="n"/>
    </row>
    <row r="936" ht="15.75" customHeight="1" s="70">
      <c r="B936" s="61" t="n"/>
    </row>
    <row r="937" ht="15.75" customHeight="1" s="70">
      <c r="B937" s="61" t="n"/>
    </row>
    <row r="938" ht="15.75" customHeight="1" s="70">
      <c r="B938" s="61" t="n"/>
    </row>
    <row r="939" ht="15.75" customHeight="1" s="70">
      <c r="B939" s="61" t="n"/>
    </row>
    <row r="940" ht="15.75" customHeight="1" s="70">
      <c r="B940" s="61" t="n"/>
    </row>
    <row r="941" ht="15.75" customHeight="1" s="70">
      <c r="B941" s="61" t="n"/>
    </row>
    <row r="942" ht="15.75" customHeight="1" s="70">
      <c r="B942" s="61" t="n"/>
    </row>
    <row r="943" ht="15.75" customHeight="1" s="70">
      <c r="B943" s="61" t="n"/>
    </row>
    <row r="944" ht="15.75" customHeight="1" s="70">
      <c r="B944" s="61" t="n"/>
    </row>
    <row r="945" ht="15.75" customHeight="1" s="70">
      <c r="B945" s="61" t="n"/>
    </row>
    <row r="946" ht="15.75" customHeight="1" s="70">
      <c r="B946" s="61" t="n"/>
    </row>
    <row r="947" ht="15.75" customHeight="1" s="70">
      <c r="B947" s="61" t="n"/>
    </row>
    <row r="948" ht="15.75" customHeight="1" s="70">
      <c r="B948" s="61" t="n"/>
    </row>
    <row r="949" ht="15.75" customHeight="1" s="70">
      <c r="B949" s="61" t="n"/>
    </row>
    <row r="950" ht="15.75" customHeight="1" s="70">
      <c r="B950" s="61" t="n"/>
    </row>
    <row r="951" ht="15.75" customHeight="1" s="70">
      <c r="B951" s="61" t="n"/>
    </row>
    <row r="952" ht="15.75" customHeight="1" s="70">
      <c r="B952" s="61" t="n"/>
    </row>
    <row r="953" ht="15.75" customHeight="1" s="70">
      <c r="B953" s="61" t="n"/>
    </row>
    <row r="954" ht="15.75" customHeight="1" s="70">
      <c r="B954" s="61" t="n"/>
    </row>
    <row r="955" ht="15.75" customHeight="1" s="70">
      <c r="B955" s="61" t="n"/>
    </row>
    <row r="956" ht="15.75" customHeight="1" s="70">
      <c r="B956" s="61" t="n"/>
    </row>
    <row r="957" ht="15.75" customHeight="1" s="70">
      <c r="B957" s="61" t="n"/>
    </row>
    <row r="958" ht="15.75" customHeight="1" s="70">
      <c r="B958" s="61" t="n"/>
    </row>
    <row r="959" ht="15.75" customHeight="1" s="70">
      <c r="B959" s="61" t="n"/>
    </row>
    <row r="960" ht="15.75" customHeight="1" s="70">
      <c r="B960" s="61" t="n"/>
    </row>
    <row r="961" ht="15.75" customHeight="1" s="70">
      <c r="B961" s="61" t="n"/>
    </row>
    <row r="962" ht="15.75" customHeight="1" s="70">
      <c r="B962" s="61" t="n"/>
    </row>
    <row r="963" ht="15.75" customHeight="1" s="70">
      <c r="B963" s="61" t="n"/>
    </row>
    <row r="964" ht="15.75" customHeight="1" s="70">
      <c r="B964" s="61" t="n"/>
    </row>
    <row r="965" ht="15.75" customHeight="1" s="70">
      <c r="B965" s="61" t="n"/>
    </row>
    <row r="966" ht="15.75" customHeight="1" s="70">
      <c r="B966" s="61" t="n"/>
    </row>
    <row r="967" ht="15.75" customHeight="1" s="70">
      <c r="B967" s="61" t="n"/>
    </row>
    <row r="968" ht="15.75" customHeight="1" s="70">
      <c r="B968" s="61" t="n"/>
    </row>
    <row r="969" ht="15.75" customHeight="1" s="70">
      <c r="B969" s="61" t="n"/>
    </row>
    <row r="970" ht="15.75" customHeight="1" s="70">
      <c r="B970" s="61" t="n"/>
    </row>
    <row r="971" ht="15.75" customHeight="1" s="70">
      <c r="B971" s="61" t="n"/>
    </row>
    <row r="972" ht="15.75" customHeight="1" s="70">
      <c r="B972" s="61" t="n"/>
    </row>
    <row r="973" ht="15.75" customHeight="1" s="70">
      <c r="B973" s="61" t="n"/>
    </row>
    <row r="974" ht="15.75" customHeight="1" s="70">
      <c r="B974" s="61" t="n"/>
    </row>
    <row r="975" ht="15.75" customHeight="1" s="70">
      <c r="B975" s="61" t="n"/>
    </row>
    <row r="976" ht="15.75" customHeight="1" s="70">
      <c r="B976" s="61" t="n"/>
    </row>
    <row r="977" ht="15.75" customHeight="1" s="70">
      <c r="B977" s="61" t="n"/>
    </row>
    <row r="978" ht="15.75" customHeight="1" s="70">
      <c r="B978" s="61" t="n"/>
    </row>
    <row r="979" ht="15.75" customHeight="1" s="70">
      <c r="B979" s="61" t="n"/>
    </row>
    <row r="980" ht="15.75" customHeight="1" s="70">
      <c r="B980" s="61" t="n"/>
    </row>
    <row r="981" ht="15.75" customHeight="1" s="70">
      <c r="B981" s="61" t="n"/>
    </row>
    <row r="982" ht="15.75" customHeight="1" s="70">
      <c r="B982" s="61" t="n"/>
    </row>
    <row r="983" ht="15.75" customHeight="1" s="70">
      <c r="B983" s="61" t="n"/>
    </row>
    <row r="984" ht="15.75" customHeight="1" s="70">
      <c r="B984" s="61" t="n"/>
    </row>
    <row r="985" ht="15.75" customHeight="1" s="70">
      <c r="B985" s="61" t="n"/>
    </row>
    <row r="986" ht="15.75" customHeight="1" s="70">
      <c r="B986" s="61" t="n"/>
    </row>
    <row r="987" ht="15.75" customHeight="1" s="70">
      <c r="B987" s="61" t="n"/>
    </row>
    <row r="988" ht="15.75" customHeight="1" s="70">
      <c r="B988" s="61" t="n"/>
    </row>
    <row r="989" ht="15.75" customHeight="1" s="70">
      <c r="B989" s="61" t="n"/>
    </row>
    <row r="990" ht="15.75" customHeight="1" s="70">
      <c r="B990" s="61" t="n"/>
    </row>
    <row r="991" ht="15.75" customHeight="1" s="70">
      <c r="B991" s="61" t="n"/>
    </row>
    <row r="992" ht="15.75" customHeight="1" s="70">
      <c r="B992" s="61" t="n"/>
    </row>
    <row r="993" ht="15.75" customHeight="1" s="70">
      <c r="B993" s="61" t="n"/>
    </row>
    <row r="994" ht="15.75" customHeight="1" s="70">
      <c r="B994" s="61" t="n"/>
    </row>
    <row r="995" ht="15.75" customHeight="1" s="70">
      <c r="B995" s="61" t="n"/>
    </row>
    <row r="996" ht="15.75" customHeight="1" s="70">
      <c r="B996" s="61" t="n"/>
    </row>
    <row r="997" ht="15.75" customHeight="1" s="70">
      <c r="B997" s="61" t="n"/>
    </row>
    <row r="998" ht="15.75" customHeight="1" s="70">
      <c r="B998" s="61" t="n"/>
    </row>
    <row r="999" ht="15.75" customHeight="1" s="70">
      <c r="B999" s="61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70" min="1" max="1"/>
    <col width="65" customWidth="1" style="70" min="2" max="2"/>
    <col width="8.710000000000001" customWidth="1" style="70" min="3" max="26"/>
  </cols>
  <sheetData>
    <row r="1" ht="25.5" customHeight="1" s="70">
      <c r="A1" s="75" t="inlineStr">
        <is>
          <t>HOW TO GET DATA INTO THE GAME</t>
        </is>
      </c>
    </row>
    <row r="3">
      <c r="A3" s="63" t="inlineStr">
        <is>
          <t>Step 1</t>
        </is>
      </c>
      <c r="B3" s="64" t="inlineStr">
        <is>
          <t>Fill in Weapon Base Stats sheet — one row per weapon.</t>
        </is>
      </c>
    </row>
    <row r="4">
      <c r="A4" s="63" t="inlineStr">
        <is>
          <t>Step 2</t>
        </is>
      </c>
      <c r="B4" s="64" t="inlineStr">
        <is>
          <t>Tell Claude Code: 'Import weapons from spreadsheet'.</t>
        </is>
      </c>
    </row>
    <row r="5">
      <c r="A5" s="63" t="inlineStr">
        <is>
          <t>Step 3</t>
        </is>
      </c>
      <c r="B5" s="64" t="inlineStr">
        <is>
          <t>Claude reads the sheet and regenerates data/weapons.json.</t>
        </is>
      </c>
    </row>
    <row r="6">
      <c r="A6" s="63" t="inlineStr">
        <is>
          <t>Step 4</t>
        </is>
      </c>
      <c r="B6" s="64" t="inlineStr">
        <is>
          <t>Run the game — WeaponDB loads the new JSON automatically.</t>
        </is>
      </c>
    </row>
    <row r="7">
      <c r="A7" s="63" t="n"/>
      <c r="B7" s="64" t="n"/>
    </row>
    <row r="8">
      <c r="A8" s="63" t="inlineStr">
        <is>
          <t>Fields</t>
        </is>
      </c>
      <c r="B8" s="64" t="inlineStr">
        <is>
          <t>id: unique key (no spaces). type: ballistic / energy / missile.</t>
        </is>
      </c>
    </row>
    <row r="9">
      <c r="A9" s="63" t="n"/>
      <c r="B9" s="64" t="inlineStr">
        <is>
          <t>color_r/g/b: 0.0–1.0 (bullet trail colour).</t>
        </is>
      </c>
    </row>
    <row r="10">
      <c r="A10" s="63" t="n"/>
      <c r="B10" s="64" t="inlineStr">
        <is>
          <t>dmg_scale: damage multiplier per tier (0.44 = +44% each tier).</t>
        </is>
      </c>
    </row>
    <row r="11">
      <c r="A11" s="63" t="n"/>
      <c r="B11" s="64" t="inlineStr">
        <is>
          <t>rate_scale: fire rate multiplier per tier.</t>
        </is>
      </c>
    </row>
    <row r="21" ht="15.75" customHeight="1" s="70"/>
    <row r="22" ht="15.75" customHeight="1" s="70"/>
    <row r="23" ht="15.75" customHeight="1" s="70"/>
    <row r="24" ht="15.75" customHeight="1" s="70"/>
    <row r="25" ht="15.75" customHeight="1" s="70"/>
    <row r="26" ht="15.75" customHeight="1" s="70"/>
    <row r="27" ht="15.75" customHeight="1" s="70"/>
    <row r="28" ht="15.75" customHeight="1" s="70"/>
    <row r="29" ht="15.75" customHeight="1" s="70"/>
    <row r="30" ht="15.75" customHeight="1" s="70"/>
    <row r="31" ht="15.75" customHeight="1" s="70"/>
    <row r="32" ht="15.75" customHeight="1" s="70"/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mergeCells count="1">
    <mergeCell ref="A1:D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70" min="1" max="1"/>
    <col width="14" customWidth="1" style="70" min="2" max="2"/>
    <col width="38" customWidth="1" style="70" min="3" max="3"/>
    <col width="18" customWidth="1" style="70" min="4" max="4"/>
    <col width="8.710000000000001" customWidth="1" style="70" min="5" max="26"/>
  </cols>
  <sheetData>
    <row r="1">
      <c r="A1" s="65" t="inlineStr">
        <is>
          <t>EFFECT KEYS — Use these exact strings in the 'effect' column</t>
        </is>
      </c>
    </row>
    <row r="2">
      <c r="A2" s="66" t="inlineStr">
        <is>
          <t>Effect Key</t>
        </is>
      </c>
      <c r="B2" s="66" t="inlineStr">
        <is>
          <t>Type</t>
        </is>
      </c>
      <c r="C2" s="66" t="inlineStr">
        <is>
          <t>Value Meaning</t>
        </is>
      </c>
      <c r="D2" s="66" t="inlineStr">
        <is>
          <t>Example</t>
        </is>
      </c>
    </row>
    <row r="3">
      <c r="A3" s="67" t="inlineStr">
        <is>
          <t>damage_flat_pct</t>
        </is>
      </c>
      <c r="B3" s="67" t="inlineStr">
        <is>
          <t>global</t>
        </is>
      </c>
      <c r="C3" s="67" t="inlineStr">
        <is>
          <t>% added to all damage (0.2=20%)</t>
        </is>
      </c>
      <c r="D3" s="67" t="inlineStr">
        <is>
          <t>Power Surge</t>
        </is>
      </c>
    </row>
    <row r="4">
      <c r="A4" s="67" t="inlineStr">
        <is>
          <t>weapon_type_mult</t>
        </is>
      </c>
      <c r="B4" s="67" t="inlineStr">
        <is>
          <t>weapon_type</t>
        </is>
      </c>
      <c r="C4" s="67" t="inlineStr">
        <is>
          <t>Multiplier (1.5 = ×1.5 dmg)</t>
        </is>
      </c>
      <c r="D4" s="67" t="inlineStr">
        <is>
          <t>Ballistic Expert</t>
        </is>
      </c>
    </row>
    <row r="5">
      <c r="A5" s="67" t="inlineStr">
        <is>
          <t>bounce_mult</t>
        </is>
      </c>
      <c r="B5" s="67" t="inlineStr">
        <is>
          <t>conditional</t>
        </is>
      </c>
      <c r="C5" s="67" t="inlineStr">
        <is>
          <t>Multiplier on bounced shots</t>
        </is>
      </c>
      <c r="D5" s="67" t="inlineStr">
        <is>
          <t>Ricochet Artist</t>
        </is>
      </c>
    </row>
    <row r="6">
      <c r="A6" s="67" t="inlineStr">
        <is>
          <t>shield_boost</t>
        </is>
      </c>
      <c r="B6" s="67" t="inlineStr">
        <is>
          <t>global</t>
        </is>
      </c>
      <c r="C6" s="67" t="inlineStr">
        <is>
          <t>Flat shield added on hire</t>
        </is>
      </c>
      <c r="D6" s="67" t="inlineStr">
        <is>
          <t>Shield Tech</t>
        </is>
      </c>
    </row>
    <row r="7">
      <c r="A7" s="67" t="inlineStr">
        <is>
          <t>speed_boost</t>
        </is>
      </c>
      <c r="B7" s="67" t="inlineStr">
        <is>
          <t>global</t>
        </is>
      </c>
      <c r="C7" s="67" t="inlineStr">
        <is>
          <t>Flat speed added on hire</t>
        </is>
      </c>
      <c r="D7" s="67" t="inlineStr">
        <is>
          <t>Afterburner</t>
        </is>
      </c>
    </row>
    <row r="8">
      <c r="A8" s="67" t="inlineStr">
        <is>
          <t>hp_boost</t>
        </is>
      </c>
      <c r="B8" s="67" t="inlineStr">
        <is>
          <t>global</t>
        </is>
      </c>
      <c r="C8" s="67" t="inlineStr">
        <is>
          <t>Flat max HP added on hire</t>
        </is>
      </c>
      <c r="D8" s="67" t="inlineStr">
        <is>
          <t>(future)</t>
        </is>
      </c>
    </row>
    <row r="9">
      <c r="A9" s="67" t="inlineStr">
        <is>
          <t>pierce_mult</t>
        </is>
      </c>
      <c r="B9" s="67" t="inlineStr">
        <is>
          <t>conditional</t>
        </is>
      </c>
      <c r="C9" s="67" t="inlineStr">
        <is>
          <t>Multiplier on piercing shots</t>
        </is>
      </c>
      <c r="D9" s="67" t="inlineStr">
        <is>
          <t>(future)</t>
        </is>
      </c>
    </row>
    <row r="10">
      <c r="A10" s="67" t="inlineStr">
        <is>
          <t>crit_mult</t>
        </is>
      </c>
      <c r="B10" s="67" t="inlineStr">
        <is>
          <t>conditional</t>
        </is>
      </c>
      <c r="C10" s="67" t="inlineStr">
        <is>
          <t>Multiplier on crit hits</t>
        </is>
      </c>
      <c r="D10" s="67" t="inlineStr">
        <is>
          <t>(future)</t>
        </is>
      </c>
    </row>
    <row r="11">
      <c r="A11" s="67" t="n"/>
      <c r="B11" s="67" t="n"/>
      <c r="C11" s="67" t="n"/>
      <c r="D11" s="67" t="n"/>
    </row>
    <row r="12">
      <c r="A12" s="67" t="inlineStr">
        <is>
          <t>To add a NEW effect:</t>
        </is>
      </c>
      <c r="B12" s="67" t="n"/>
      <c r="C12" s="67" t="inlineStr">
        <is>
          <t>1. Add the key here</t>
        </is>
      </c>
      <c r="D12" s="67" t="n"/>
    </row>
    <row r="13">
      <c r="A13" s="67" t="n"/>
      <c r="B13" s="67" t="n"/>
      <c r="C13" s="67" t="inlineStr">
        <is>
          <t>2. Add a row in the Pilots sheet</t>
        </is>
      </c>
      <c r="D13" s="67" t="n"/>
    </row>
    <row r="14">
      <c r="A14" s="67" t="n"/>
      <c r="B14" s="67" t="n"/>
      <c r="C14" s="67" t="inlineStr">
        <is>
          <t>3. Tell Claude — a new branch in PilotManager.apply_pilots()</t>
        </is>
      </c>
      <c r="D14" s="67" t="n"/>
    </row>
    <row r="21" ht="15.75" customHeight="1" s="70"/>
    <row r="22" ht="15.75" customHeight="1" s="70"/>
    <row r="23" ht="15.75" customHeight="1" s="70"/>
    <row r="24" ht="15.75" customHeight="1" s="70"/>
    <row r="25" ht="15.75" customHeight="1" s="70"/>
    <row r="26" ht="15.75" customHeight="1" s="70"/>
    <row r="27" ht="15.75" customHeight="1" s="70"/>
    <row r="28" ht="15.75" customHeight="1" s="70"/>
    <row r="29" ht="15.75" customHeight="1" s="70"/>
    <row r="30" ht="15.75" customHeight="1" s="70"/>
    <row r="31" ht="15.75" customHeight="1" s="70"/>
    <row r="32" ht="15.75" customHeight="1" s="70"/>
    <row r="33" ht="15.75" customHeight="1" s="70"/>
    <row r="34" ht="15.75" customHeight="1" s="70"/>
    <row r="35" ht="15.75" customHeight="1" s="70"/>
    <row r="36" ht="15.75" customHeight="1" s="70"/>
    <row r="37" ht="15.75" customHeight="1" s="70"/>
    <row r="38" ht="15.75" customHeight="1" s="70"/>
    <row r="39" ht="15.75" customHeight="1" s="70"/>
    <row r="40" ht="15.75" customHeight="1" s="70"/>
    <row r="41" ht="15.75" customHeight="1" s="70"/>
    <row r="42" ht="15.75" customHeight="1" s="70"/>
    <row r="43" ht="15.75" customHeight="1" s="70"/>
    <row r="44" ht="15.75" customHeight="1" s="70"/>
    <row r="45" ht="15.75" customHeight="1" s="70"/>
    <row r="46" ht="15.75" customHeight="1" s="70"/>
    <row r="47" ht="15.75" customHeight="1" s="70"/>
    <row r="48" ht="15.75" customHeight="1" s="70"/>
    <row r="49" ht="15.75" customHeight="1" s="70"/>
    <row r="50" ht="15.75" customHeight="1" s="70"/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mergeCells count="1">
    <mergeCell ref="A1:D1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68" t="inlineStr">
        <is>
          <t>Name</t>
        </is>
      </c>
      <c r="B1" s="68" t="inlineStr">
        <is>
          <t>Trigger</t>
        </is>
      </c>
    </row>
    <row r="2">
      <c r="B2" s="21" t="inlineStr">
        <is>
          <t>1000 kill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70" min="1" max="1"/>
    <col width="12" customWidth="1" style="70" min="2" max="2"/>
    <col width="18" customWidth="1" style="70" min="3" max="3"/>
    <col width="14.43" customWidth="1" style="70" min="4" max="4"/>
    <col width="15" customWidth="1" style="70" min="5" max="5"/>
    <col width="18" customWidth="1" style="70" min="6" max="6"/>
    <col width="15" customWidth="1" style="70" min="8" max="8"/>
    <col width="18" customWidth="1" style="70" min="9" max="9"/>
  </cols>
  <sheetData>
    <row r="1">
      <c r="A1" s="50" t="inlineStr">
        <is>
          <t>Card Name</t>
        </is>
      </c>
      <c r="B1" s="50" t="inlineStr">
        <is>
          <t>Pick Rate (%)</t>
        </is>
      </c>
      <c r="C1" s="50" t="inlineStr">
        <is>
          <t>Win Rate with Card (%)</t>
        </is>
      </c>
      <c r="D1" s="50" t="inlineStr">
        <is>
          <t>Avg Damage Increase</t>
        </is>
      </c>
      <c r="E1" s="50" t="inlineStr">
        <is>
          <t>Synergy Count</t>
        </is>
      </c>
      <c r="F1" s="50" t="inlineStr">
        <is>
          <t>Anti-Synergy Count</t>
        </is>
      </c>
      <c r="G1" s="50" t="inlineStr">
        <is>
          <t>Player Rating (1-5)</t>
        </is>
      </c>
      <c r="H1" s="50" t="inlineStr">
        <is>
          <t>Balance Status</t>
        </is>
      </c>
      <c r="I1" s="50" t="inlineStr">
        <is>
          <t>Needs Buff/Nerf?</t>
        </is>
      </c>
    </row>
    <row r="2">
      <c r="A2" s="69" t="inlineStr">
        <is>
          <t>[Fill this in after playtesting]</t>
        </is>
      </c>
    </row>
    <row r="3">
      <c r="A3" s="69" t="inlineStr">
        <is>
          <t>Track which cards are overpowered/underpowered</t>
        </is>
      </c>
    </row>
    <row r="4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</row>
    <row r="5">
      <c r="A5" s="54" t="n"/>
      <c r="B5" s="54" t="n"/>
      <c r="C5" s="54" t="n"/>
      <c r="D5" s="54" t="n"/>
      <c r="E5" s="54" t="n"/>
      <c r="F5" s="54" t="n"/>
      <c r="G5" s="54" t="n"/>
      <c r="H5" s="54" t="n"/>
      <c r="I5" s="54" t="n"/>
    </row>
    <row r="6">
      <c r="A6" s="54" t="n"/>
      <c r="B6" s="54" t="n"/>
      <c r="C6" s="54" t="n"/>
      <c r="D6" s="54" t="n"/>
      <c r="E6" s="54" t="n"/>
      <c r="F6" s="54" t="n"/>
      <c r="G6" s="54" t="n"/>
      <c r="H6" s="54" t="n"/>
      <c r="I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</row>
    <row r="8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  <c r="I11" s="54" t="n"/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  <c r="I12" s="54" t="n"/>
    </row>
    <row r="13">
      <c r="A13" s="54" t="n"/>
      <c r="B13" s="54" t="n"/>
      <c r="C13" s="54" t="n"/>
      <c r="D13" s="54" t="n"/>
      <c r="E13" s="54" t="n"/>
      <c r="F13" s="54" t="n"/>
      <c r="G13" s="54" t="n"/>
      <c r="H13" s="54" t="n"/>
      <c r="I13" s="54" t="n"/>
    </row>
    <row r="14">
      <c r="A14" s="54" t="n"/>
      <c r="B14" s="54" t="n"/>
      <c r="C14" s="54" t="n"/>
      <c r="D14" s="54" t="n"/>
      <c r="E14" s="54" t="n"/>
      <c r="F14" s="54" t="n"/>
      <c r="G14" s="54" t="n"/>
      <c r="H14" s="54" t="n"/>
      <c r="I14" s="54" t="n"/>
    </row>
    <row r="15">
      <c r="A15" s="54" t="n"/>
      <c r="B15" s="54" t="n"/>
      <c r="C15" s="54" t="n"/>
      <c r="D15" s="54" t="n"/>
      <c r="E15" s="54" t="n"/>
      <c r="F15" s="54" t="n"/>
      <c r="G15" s="54" t="n"/>
      <c r="H15" s="54" t="n"/>
      <c r="I15" s="54" t="n"/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4" t="n"/>
    </row>
    <row r="17">
      <c r="A17" s="54" t="n"/>
      <c r="B17" s="54" t="n"/>
      <c r="C17" s="54" t="n"/>
      <c r="D17" s="54" t="n"/>
      <c r="E17" s="54" t="n"/>
      <c r="F17" s="54" t="n"/>
      <c r="G17" s="54" t="n"/>
      <c r="H17" s="54" t="n"/>
      <c r="I17" s="54" t="n"/>
    </row>
    <row r="18">
      <c r="A18" s="54" t="n"/>
      <c r="B18" s="54" t="n"/>
      <c r="C18" s="54" t="n"/>
      <c r="D18" s="54" t="n"/>
      <c r="E18" s="54" t="n"/>
      <c r="F18" s="54" t="n"/>
      <c r="G18" s="54" t="n"/>
      <c r="H18" s="54" t="n"/>
      <c r="I18" s="54" t="n"/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</row>
    <row r="20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</row>
    <row r="21" ht="15.75" customHeight="1" s="70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</row>
    <row r="22" ht="15.75" customHeight="1" s="70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</row>
    <row r="23" ht="15.75" customHeight="1" s="70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4" t="n"/>
    </row>
    <row r="24" ht="15.75" customHeight="1" s="70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4" t="n"/>
    </row>
    <row r="25" ht="15.75" customHeight="1" s="70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4" t="n"/>
    </row>
    <row r="26" ht="15.75" customHeight="1" s="70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4" t="n"/>
    </row>
    <row r="27" ht="15.75" customHeight="1" s="70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</row>
    <row r="28" ht="15.75" customHeight="1" s="70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4" t="n"/>
    </row>
    <row r="29" ht="15.75" customHeight="1" s="70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4" t="n"/>
    </row>
    <row r="30" ht="15.75" customHeight="1" s="70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4" t="n"/>
    </row>
    <row r="31" ht="15.75" customHeight="1" s="70">
      <c r="A31" s="54" t="n"/>
      <c r="B31" s="54" t="n"/>
      <c r="C31" s="54" t="n"/>
      <c r="D31" s="54" t="n"/>
      <c r="E31" s="54" t="n"/>
      <c r="F31" s="54" t="n"/>
      <c r="G31" s="54" t="n"/>
      <c r="H31" s="54" t="n"/>
      <c r="I31" s="54" t="n"/>
    </row>
    <row r="32" ht="15.75" customHeight="1" s="70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4" t="n"/>
    </row>
    <row r="33" ht="15.75" customHeight="1" s="70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4" t="n"/>
    </row>
    <row r="34" ht="15.75" customHeight="1" s="70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4" t="n"/>
    </row>
    <row r="35" ht="15.75" customHeight="1" s="70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4" t="n"/>
    </row>
    <row r="36" ht="15.75" customHeight="1" s="70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4" t="n"/>
    </row>
    <row r="37" ht="15.75" customHeight="1" s="70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4" t="n"/>
    </row>
    <row r="38" ht="15.75" customHeight="1" s="70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4" t="n"/>
    </row>
    <row r="39" ht="15.75" customHeight="1" s="70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4" t="n"/>
    </row>
    <row r="40" ht="15.75" customHeight="1" s="70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4" t="n"/>
    </row>
    <row r="41" ht="15.75" customHeight="1" s="70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</row>
    <row r="42" ht="15.75" customHeight="1" s="70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</row>
    <row r="43" ht="15.75" customHeight="1" s="70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</row>
    <row r="44" ht="15.75" customHeight="1" s="70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</row>
    <row r="45" ht="15.75" customHeight="1" s="70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</row>
    <row r="46" ht="15.75" customHeight="1" s="70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</row>
    <row r="47" ht="15.75" customHeight="1" s="70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</row>
    <row r="48" ht="15.75" customHeight="1" s="70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</row>
    <row r="49" ht="15.75" customHeight="1" s="70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</row>
    <row r="50" ht="15.75" customHeight="1" s="70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</row>
    <row r="51" ht="15.75" customHeight="1" s="70"/>
    <row r="52" ht="15.75" customHeight="1" s="70"/>
    <row r="53" ht="15.75" customHeight="1" s="70"/>
    <row r="54" ht="15.75" customHeight="1" s="70"/>
    <row r="55" ht="15.75" customHeight="1" s="70"/>
    <row r="56" ht="15.75" customHeight="1" s="70"/>
    <row r="57" ht="15.75" customHeight="1" s="70"/>
    <row r="58" ht="15.75" customHeight="1" s="70"/>
    <row r="59" ht="15.75" customHeight="1" s="70"/>
    <row r="60" ht="15.75" customHeight="1" s="70"/>
    <row r="61" ht="15.75" customHeight="1" s="70"/>
    <row r="62" ht="15.75" customHeight="1" s="70"/>
    <row r="63" ht="15.75" customHeight="1" s="70"/>
    <row r="64" ht="15.75" customHeight="1" s="70"/>
    <row r="65" ht="15.75" customHeight="1" s="70"/>
    <row r="66" ht="15.75" customHeight="1" s="70"/>
    <row r="67" ht="15.75" customHeight="1" s="70"/>
    <row r="68" ht="15.75" customHeight="1" s="70"/>
    <row r="69" ht="15.75" customHeight="1" s="70"/>
    <row r="70" ht="15.75" customHeight="1" s="70"/>
    <row r="71" ht="15.75" customHeight="1" s="70"/>
    <row r="72" ht="15.75" customHeight="1" s="70"/>
    <row r="73" ht="15.75" customHeight="1" s="70"/>
    <row r="74" ht="15.75" customHeight="1" s="70"/>
    <row r="75" ht="15.75" customHeight="1" s="70"/>
    <row r="76" ht="15.75" customHeight="1" s="70"/>
    <row r="77" ht="15.75" customHeight="1" s="70"/>
    <row r="78" ht="15.75" customHeight="1" s="70"/>
    <row r="79" ht="15.75" customHeight="1" s="70"/>
    <row r="80" ht="15.75" customHeight="1" s="70"/>
    <row r="81" ht="15.75" customHeight="1" s="70"/>
    <row r="82" ht="15.75" customHeight="1" s="70"/>
    <row r="83" ht="15.75" customHeight="1" s="70"/>
    <row r="84" ht="15.75" customHeight="1" s="70"/>
    <row r="85" ht="15.75" customHeight="1" s="70"/>
    <row r="86" ht="15.75" customHeight="1" s="70"/>
    <row r="87" ht="15.75" customHeight="1" s="70"/>
    <row r="88" ht="15.75" customHeight="1" s="70"/>
    <row r="89" ht="15.75" customHeight="1" s="70"/>
    <row r="90" ht="15.75" customHeight="1" s="70"/>
    <row r="91" ht="15.75" customHeight="1" s="70"/>
    <row r="92" ht="15.75" customHeight="1" s="70"/>
    <row r="93" ht="15.75" customHeight="1" s="70"/>
    <row r="94" ht="15.75" customHeight="1" s="70"/>
    <row r="95" ht="15.75" customHeight="1" s="70"/>
    <row r="96" ht="15.75" customHeight="1" s="70"/>
    <row r="97" ht="15.75" customHeight="1" s="70"/>
    <row r="98" ht="15.75" customHeight="1" s="70"/>
    <row r="99" ht="15.75" customHeight="1" s="70"/>
    <row r="100" ht="15.75" customHeight="1" s="70"/>
    <row r="101" ht="15.75" customHeight="1" s="70"/>
    <row r="102" ht="15.75" customHeight="1" s="70"/>
    <row r="103" ht="15.75" customHeight="1" s="70"/>
    <row r="104" ht="15.75" customHeight="1" s="70"/>
    <row r="105" ht="15.75" customHeight="1" s="70"/>
    <row r="106" ht="15.75" customHeight="1" s="70"/>
    <row r="107" ht="15.75" customHeight="1" s="70"/>
    <row r="108" ht="15.75" customHeight="1" s="70"/>
    <row r="109" ht="15.75" customHeight="1" s="70"/>
    <row r="110" ht="15.75" customHeight="1" s="70"/>
    <row r="111" ht="15.75" customHeight="1" s="70"/>
    <row r="112" ht="15.75" customHeight="1" s="70"/>
    <row r="113" ht="15.75" customHeight="1" s="70"/>
    <row r="114" ht="15.75" customHeight="1" s="70"/>
    <row r="115" ht="15.75" customHeight="1" s="70"/>
    <row r="116" ht="15.75" customHeight="1" s="70"/>
    <row r="117" ht="15.75" customHeight="1" s="70"/>
    <row r="118" ht="15.75" customHeight="1" s="70"/>
    <row r="119" ht="15.75" customHeight="1" s="70"/>
    <row r="120" ht="15.75" customHeight="1" s="70"/>
    <row r="121" ht="15.75" customHeight="1" s="70"/>
    <row r="122" ht="15.75" customHeight="1" s="70"/>
    <row r="123" ht="15.75" customHeight="1" s="70"/>
    <row r="124" ht="15.75" customHeight="1" s="70"/>
    <row r="125" ht="15.75" customHeight="1" s="70"/>
    <row r="126" ht="15.75" customHeight="1" s="70"/>
    <row r="127" ht="15.75" customHeight="1" s="70"/>
    <row r="128" ht="15.75" customHeight="1" s="70"/>
    <row r="129" ht="15.75" customHeight="1" s="70"/>
    <row r="130" ht="15.75" customHeight="1" s="70"/>
    <row r="131" ht="15.75" customHeight="1" s="70"/>
    <row r="132" ht="15.75" customHeight="1" s="70"/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2026-03-02T17:33:21Z</dcterms:created>
  <dcterms:modified xsi:type="dcterms:W3CDTF">2026-03-02T17:33:21Z</dcterms:modified>
</cp:coreProperties>
</file>